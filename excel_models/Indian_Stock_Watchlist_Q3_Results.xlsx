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Analytics" sheetId="1" state="visible" r:id="rId1"/>
    <sheet xmlns:r="http://schemas.openxmlformats.org/officeDocument/2006/relationships" name="Master Watchlist" sheetId="2" state="visible" r:id="rId2"/>
    <sheet xmlns:r="http://schemas.openxmlformats.org/officeDocument/2006/relationships" name="Q3 Earnings Calendar" sheetId="3" state="visible" r:id="rId3"/>
    <sheet xmlns:r="http://schemas.openxmlformats.org/officeDocument/2006/relationships" name="Sectoral Clusters" sheetId="4" state="visible" r:id="rId4"/>
  </sheets>
  <definedNames>
    <definedName name="_xlnm._FilterDatabase" localSheetId="1" hidden="1">'Master Watchlist'!$A$4:$K$73</definedName>
    <definedName name="_xlnm._FilterDatabase" localSheetId="2" hidden="1">'Q3 Earnings Calendar'!$A$4:$H$34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A73E8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  <font>
      <name val="Calibri"/>
      <b val="1"/>
      <color rgb="00B25E00"/>
      <sz val="10"/>
    </font>
    <font>
      <name val="Calibri"/>
      <b val="1"/>
      <color rgb="00203764"/>
      <sz val="11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b val="1"/>
      <color rgb="00203764"/>
      <sz val="12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8FAFC"/>
        <bgColor rgb="00F8FAF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F2F4F8"/>
        <bgColor rgb="00F2F4F8"/>
      </patternFill>
    </fill>
  </fills>
  <borders count="4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medium">
        <color rgb="00203764"/>
      </top>
      <bottom style="double">
        <color rgb="0020376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0" fillId="0" borderId="1" pivotButton="0" quotePrefix="0" xfId="0"/>
    <xf numFmtId="0" fontId="11" fillId="11" borderId="1" applyAlignment="1" pivotButton="0" quotePrefix="0" xfId="0">
      <alignment horizontal="center" vertical="center"/>
    </xf>
    <xf numFmtId="0" fontId="1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6" borderId="2" pivotButton="0" quotePrefix="0" xfId="0"/>
    <xf numFmtId="0" fontId="4" fillId="6" borderId="2" applyAlignment="1" pivotButton="0" quotePrefix="0" xfId="0">
      <alignment horizontal="center" vertical="center"/>
    </xf>
    <xf numFmtId="164" fontId="4" fillId="6" borderId="2" applyAlignment="1" pivotButton="0" quotePrefix="0" xfId="0">
      <alignment horizontal="right" vertical="center"/>
    </xf>
    <xf numFmtId="0" fontId="4" fillId="4" borderId="2" pivotButton="0" quotePrefix="0" xfId="0"/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0" fontId="13" fillId="10" borderId="3" pivotButton="0" quotePrefix="0" xfId="0"/>
    <xf numFmtId="0" fontId="13" fillId="10" borderId="3" applyAlignment="1" pivotButton="0" quotePrefix="0" xfId="0">
      <alignment horizontal="center" vertical="center"/>
    </xf>
    <xf numFmtId="164" fontId="13" fillId="10" borderId="3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 Capitalization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&amp; Analytics'!B9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Analytics'!$A$10:$A$13</f>
            </numRef>
          </cat>
          <val>
            <numRef>
              <f>'Dashboard &amp; Analytics'!$B$10:$B$13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Watchlist Sector Concentration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&amp; Analytics'!B18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Analytics'!$A$19:$A$27</f>
            </numRef>
          </cat>
          <val>
            <numRef>
              <f>'Dashboard &amp; Analytics'!$B$19:$B$27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Sector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16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28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  <col width="28" customWidth="1" min="5" max="5"/>
    <col width="14" customWidth="1" min="6" max="6"/>
    <col width="14" customWidth="1" min="7" max="7"/>
    <col width="4" customWidth="1" min="8" max="8"/>
    <col width="16" customWidth="1" min="9" max="9"/>
    <col width="16" customWidth="1" min="10" max="10"/>
  </cols>
  <sheetData>
    <row r="1" ht="28" customHeight="1">
      <c r="A1" s="1" t="inlineStr">
        <is>
          <t>PORTFOLIO &amp; EARNINGS WATCHLIST DASHBOARD</t>
        </is>
      </c>
    </row>
    <row r="2" ht="18" customHeight="1">
      <c r="A2" s="2" t="inlineStr">
        <is>
          <t>Executive overview, market capitalization mix, sentiment tally, and sectoral distribution</t>
        </is>
      </c>
    </row>
    <row r="3" ht="12" customHeight="1"/>
    <row r="4" ht="16" customHeight="1">
      <c r="A4" s="3" t="inlineStr">
        <is>
          <t>TOTAL STOCKS TRACKED</t>
        </is>
      </c>
      <c r="B4" s="4" t="n"/>
      <c r="C4" s="3" t="inlineStr">
        <is>
          <t>SCHEDULED EARNINGS</t>
        </is>
      </c>
      <c r="D4" s="4" t="n"/>
      <c r="E4" s="3" t="inlineStr">
        <is>
          <t>BULLISH SIGNALS (↑ / ↑↑)</t>
        </is>
      </c>
      <c r="F4" s="4" t="n"/>
      <c r="G4" s="3" t="inlineStr">
        <is>
          <t>BEARISH / CAUTION (↓)</t>
        </is>
      </c>
      <c r="H4" s="4" t="n"/>
      <c r="I4" s="3" t="inlineStr">
        <is>
          <t>PRE-IPO / UNLISTED</t>
        </is>
      </c>
      <c r="J4" s="4" t="n"/>
    </row>
    <row r="5" ht="18" customHeight="1">
      <c r="A5" s="5">
        <f>COUNTA('Master Watchlist'!C5:C73)</f>
        <v/>
      </c>
      <c r="B5" s="4" t="n"/>
      <c r="C5" s="5">
        <f>COUNTIF('Master Watchlist'!G5:G73, "Scheduled Date")</f>
        <v/>
      </c>
      <c r="D5" s="4" t="n"/>
      <c r="E5" s="5">
        <f>COUNTIF('Master Watchlist'!G5:G73, "*Bullish*")</f>
        <v/>
      </c>
      <c r="F5" s="4" t="n"/>
      <c r="G5" s="5">
        <f>COUNTIF('Master Watchlist'!G5:G73, "*Bearish*")</f>
        <v/>
      </c>
      <c r="H5" s="4" t="n"/>
      <c r="I5" s="5">
        <f>COUNTIF('Master Watchlist'!F5:F73, "IPO / Unlisted")</f>
        <v/>
      </c>
      <c r="J5" s="4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14" customHeight="1"/>
    <row r="8">
      <c r="A8" s="6" t="inlineStr">
        <is>
          <t>Market Cap Breakdown</t>
        </is>
      </c>
      <c r="E8" s="6" t="inlineStr">
        <is>
          <t>Sentiment / Setup Status Tally</t>
        </is>
      </c>
    </row>
    <row r="9">
      <c r="A9" s="7" t="inlineStr">
        <is>
          <t>Category</t>
        </is>
      </c>
      <c r="B9" s="8" t="inlineStr">
        <is>
          <t>Stock Count</t>
        </is>
      </c>
      <c r="C9" s="8" t="inlineStr">
        <is>
          <t>% of Total</t>
        </is>
      </c>
      <c r="E9" s="7" t="inlineStr">
        <is>
          <t>Status / Signal</t>
        </is>
      </c>
      <c r="F9" s="8" t="inlineStr">
        <is>
          <t>Stock Count</t>
        </is>
      </c>
      <c r="G9" s="8" t="inlineStr">
        <is>
          <t>% of Total</t>
        </is>
      </c>
    </row>
    <row r="10">
      <c r="A10" s="9" t="inlineStr">
        <is>
          <t>Large Cap</t>
        </is>
      </c>
      <c r="B10" s="10">
        <f>COUNTIF('Master Watchlist'!$F$5:$F$73, "Large Cap")</f>
        <v/>
      </c>
      <c r="C10" s="11">
        <f>B10/$B$14</f>
        <v/>
      </c>
      <c r="E10" s="9" t="inlineStr">
        <is>
          <t>Strong Bullish (↑↑)</t>
        </is>
      </c>
      <c r="F10" s="10">
        <f>COUNTIF('Master Watchlist'!$G$5:$G$73, "Strong Bullish")</f>
        <v/>
      </c>
      <c r="G10" s="11">
        <f>F10/$F$15</f>
        <v/>
      </c>
    </row>
    <row r="11">
      <c r="A11" s="12" t="inlineStr">
        <is>
          <t>Mid Cap</t>
        </is>
      </c>
      <c r="B11" s="13">
        <f>COUNTIF('Master Watchlist'!$F$5:$F$73, "Mid Cap")</f>
        <v/>
      </c>
      <c r="C11" s="14">
        <f>B11/$B$14</f>
        <v/>
      </c>
      <c r="E11" s="12" t="inlineStr">
        <is>
          <t>Bullish Setup (↑)</t>
        </is>
      </c>
      <c r="F11" s="13">
        <f>COUNTIF('Master Watchlist'!$G$5:$G$73, "Bullish")</f>
        <v/>
      </c>
      <c r="G11" s="14">
        <f>F11/$F$15</f>
        <v/>
      </c>
    </row>
    <row r="12">
      <c r="A12" s="9" t="inlineStr">
        <is>
          <t>Small Cap</t>
        </is>
      </c>
      <c r="B12" s="10">
        <f>COUNTIF('Master Watchlist'!$F$5:$F$73, "Small Cap")</f>
        <v/>
      </c>
      <c r="C12" s="11">
        <f>B12/$B$14</f>
        <v/>
      </c>
      <c r="E12" s="9" t="inlineStr">
        <is>
          <t>Scheduled Earnings Focus</t>
        </is>
      </c>
      <c r="F12" s="10">
        <f>COUNTIF('Master Watchlist'!$G$5:$G$73, "Scheduled Date")</f>
        <v/>
      </c>
      <c r="G12" s="11">
        <f>F12/$F$15</f>
        <v/>
      </c>
    </row>
    <row r="13">
      <c r="A13" s="12" t="inlineStr">
        <is>
          <t>IPO / Unlisted</t>
        </is>
      </c>
      <c r="B13" s="13">
        <f>COUNTIF('Master Watchlist'!$F$5:$F$73, "IPO / Unlisted")</f>
        <v/>
      </c>
      <c r="C13" s="14">
        <f>B13/$B$14</f>
        <v/>
      </c>
      <c r="E13" s="12" t="inlineStr">
        <is>
          <t>Bearish / Correction (↓)</t>
        </is>
      </c>
      <c r="F13" s="13">
        <f>COUNTIF('Master Watchlist'!$G$5:$G$73, "Bearish")</f>
        <v/>
      </c>
      <c r="G13" s="14">
        <f>F13/$F$15</f>
        <v/>
      </c>
    </row>
    <row r="14">
      <c r="A14" s="15" t="inlineStr">
        <is>
          <t>Total</t>
        </is>
      </c>
      <c r="B14" s="16">
        <f>SUM(B10:B13)</f>
        <v/>
      </c>
      <c r="C14" s="17">
        <f>SUM(C10:C13)</f>
        <v/>
      </c>
      <c r="E14" s="9" t="inlineStr">
        <is>
          <t>Neutral / Watchlist Tracking</t>
        </is>
      </c>
      <c r="F14" s="10">
        <f>COUNTIF('Master Watchlist'!$G$5:$G$73, "Watchlist") + COUNTIF('Master Watchlist'!$G$5:$G$73, "Neutral")</f>
        <v/>
      </c>
      <c r="G14" s="11">
        <f>F14/$F$15</f>
        <v/>
      </c>
    </row>
    <row r="15">
      <c r="E15" s="15" t="inlineStr">
        <is>
          <t>Total</t>
        </is>
      </c>
      <c r="F15" s="16">
        <f>SUM(F10:F14)</f>
        <v/>
      </c>
      <c r="G15" s="17">
        <f>SUM(G10:G14)</f>
        <v/>
      </c>
    </row>
    <row r="16"/>
    <row r="17">
      <c r="A17" s="6" t="inlineStr">
        <is>
          <t>Key Sector Concentration</t>
        </is>
      </c>
    </row>
    <row r="18">
      <c r="A18" s="7" t="inlineStr">
        <is>
          <t>Thematic Sector</t>
        </is>
      </c>
      <c r="B18" s="8" t="inlineStr">
        <is>
          <t>Stock Count</t>
        </is>
      </c>
      <c r="C18" s="8" t="inlineStr">
        <is>
          <t>% Share</t>
        </is>
      </c>
    </row>
    <row r="19">
      <c r="A19" s="12" t="inlineStr">
        <is>
          <t>Renewables &amp; Clean Energy</t>
        </is>
      </c>
      <c r="B19" s="13" t="n">
        <v>11</v>
      </c>
      <c r="C19" s="14">
        <f>B19/$B$28</f>
        <v/>
      </c>
    </row>
    <row r="20">
      <c r="A20" s="9" t="inlineStr">
        <is>
          <t>Defence, Aerospace &amp; Marine</t>
        </is>
      </c>
      <c r="B20" s="10" t="n">
        <v>8</v>
      </c>
      <c r="C20" s="11">
        <f>B20/$B$28</f>
        <v/>
      </c>
    </row>
    <row r="21">
      <c r="A21" s="12" t="inlineStr">
        <is>
          <t>Railways &amp; Infra EPC</t>
        </is>
      </c>
      <c r="B21" s="13" t="n">
        <v>6</v>
      </c>
      <c r="C21" s="14">
        <f>B21/$B$28</f>
        <v/>
      </c>
    </row>
    <row r="22">
      <c r="A22" s="9" t="inlineStr">
        <is>
          <t>Electronics, EMS &amp; Tech</t>
        </is>
      </c>
      <c r="B22" s="10" t="n">
        <v>5</v>
      </c>
      <c r="C22" s="11">
        <f>B22/$B$28</f>
        <v/>
      </c>
    </row>
    <row r="23">
      <c r="A23" s="12" t="inlineStr">
        <is>
          <t>Automotive, EV &amp; Components</t>
        </is>
      </c>
      <c r="B23" s="13" t="n">
        <v>5</v>
      </c>
      <c r="C23" s="14">
        <f>B23/$B$28</f>
        <v/>
      </c>
    </row>
    <row r="24">
      <c r="A24" s="9" t="inlineStr">
        <is>
          <t>Banking, NBFC &amp; Exchanges</t>
        </is>
      </c>
      <c r="B24" s="10" t="n">
        <v>9</v>
      </c>
      <c r="C24" s="11">
        <f>B24/$B$28</f>
        <v/>
      </c>
    </row>
    <row r="25">
      <c r="A25" s="12" t="inlineStr">
        <is>
          <t>Real Estate &amp; Co-working</t>
        </is>
      </c>
      <c r="B25" s="13" t="n">
        <v>4</v>
      </c>
      <c r="C25" s="14">
        <f>B25/$B$28</f>
        <v/>
      </c>
    </row>
    <row r="26">
      <c r="A26" s="9" t="inlineStr">
        <is>
          <t>Metals, Mining &amp; Manufacturing</t>
        </is>
      </c>
      <c r="B26" s="10" t="n">
        <v>5</v>
      </c>
      <c r="C26" s="11">
        <f>B26/$B$28</f>
        <v/>
      </c>
    </row>
    <row r="27">
      <c r="A27" s="12" t="inlineStr">
        <is>
          <t>Healthcare, Media &amp; Retail</t>
        </is>
      </c>
      <c r="B27" s="13" t="n">
        <v>16</v>
      </c>
      <c r="C27" s="14">
        <f>B27/$B$28</f>
        <v/>
      </c>
    </row>
    <row r="28">
      <c r="A28" s="15" t="inlineStr">
        <is>
          <t>Total</t>
        </is>
      </c>
      <c r="B28" s="16">
        <f>SUM(B19:B27)</f>
        <v/>
      </c>
      <c r="C28" s="17">
        <f>SUM(C19:C27)</f>
        <v/>
      </c>
    </row>
  </sheetData>
  <mergeCells count="15">
    <mergeCell ref="A4:B4"/>
    <mergeCell ref="G4:H4"/>
    <mergeCell ref="A1:J1"/>
    <mergeCell ref="E4:F4"/>
    <mergeCell ref="I4:J4"/>
    <mergeCell ref="A8:C8"/>
    <mergeCell ref="E8:G8"/>
    <mergeCell ref="A17:C17"/>
    <mergeCell ref="C5:D6"/>
    <mergeCell ref="A5:B6"/>
    <mergeCell ref="G5:H6"/>
    <mergeCell ref="E5:F6"/>
    <mergeCell ref="I5:J6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44" customWidth="1" min="3" max="3"/>
    <col width="20" customWidth="1" min="4" max="4"/>
    <col width="38" customWidth="1" min="5" max="5"/>
    <col width="17" customWidth="1" min="6" max="6"/>
    <col width="27" customWidth="1" min="7" max="7"/>
    <col width="16" customWidth="1" min="8" max="8"/>
    <col width="19" customWidth="1" min="9" max="9"/>
    <col width="35" customWidth="1" min="10" max="10"/>
    <col width="50" customWidth="1" min="11" max="11"/>
  </cols>
  <sheetData>
    <row r="1" ht="28" customHeight="1">
      <c r="A1" s="1" t="inlineStr">
        <is>
          <t>INDIAN EQUITIES - MASTER WATCHLIST &amp; Q3 RESULTS TRACKER</t>
        </is>
      </c>
    </row>
    <row r="2" ht="18" customHeight="1">
      <c r="A2" s="2" t="inlineStr">
        <is>
          <t>Complete digitised intelligence from handwritten watchlist • Dec-Q3 Quarter Corporate Calendar, Technical Setups &amp; IPO Pipeline</t>
        </is>
      </c>
    </row>
    <row r="3" ht="10" customHeight="1"/>
    <row r="4" ht="26" customHeight="1">
      <c r="A4" s="8" t="inlineStr">
        <is>
          <t>S.No</t>
        </is>
      </c>
      <c r="B4" s="8" t="inlineStr">
        <is>
          <t>Handwritten Ref</t>
        </is>
      </c>
      <c r="C4" s="7" t="inlineStr">
        <is>
          <t>Company Name</t>
        </is>
      </c>
      <c r="D4" s="8" t="inlineStr">
        <is>
          <t>NSE Symbol</t>
        </is>
      </c>
      <c r="E4" s="7" t="inlineStr">
        <is>
          <t>Sector / Industry</t>
        </is>
      </c>
      <c r="F4" s="8" t="inlineStr">
        <is>
          <t>Market Cap</t>
        </is>
      </c>
      <c r="G4" s="8" t="inlineStr">
        <is>
          <t>Technical / Event Status</t>
        </is>
      </c>
      <c r="H4" s="8" t="inlineStr">
        <is>
          <t>Earnings Date</t>
        </is>
      </c>
      <c r="I4" s="8" t="inlineStr">
        <is>
          <t>Event Date (ISO)</t>
        </is>
      </c>
      <c r="J4" s="7" t="inlineStr">
        <is>
          <t>Signal / Note Details</t>
        </is>
      </c>
      <c r="K4" s="7" t="inlineStr">
        <is>
          <t>Core Growth Trigger</t>
        </is>
      </c>
    </row>
    <row r="5" ht="21" customHeight="1">
      <c r="A5" s="13" t="n">
        <v>1</v>
      </c>
      <c r="B5" s="13" t="inlineStr">
        <is>
          <t>BSE</t>
        </is>
      </c>
      <c r="C5" s="18" t="inlineStr">
        <is>
          <t>BSE Limited</t>
        </is>
      </c>
      <c r="D5" s="13" t="inlineStr">
        <is>
          <t>BSE</t>
        </is>
      </c>
      <c r="E5" s="18" t="inlineStr">
        <is>
          <t>Capital Markets &amp; Exchanges</t>
        </is>
      </c>
      <c r="F5" s="13" t="inlineStr">
        <is>
          <t>Mid Cap</t>
        </is>
      </c>
      <c r="G5" s="19" t="inlineStr">
        <is>
          <t>Scheduled Date</t>
        </is>
      </c>
      <c r="H5" s="13" t="inlineStr">
        <is>
          <t>09-Feb</t>
        </is>
      </c>
      <c r="I5" s="13" t="inlineStr">
        <is>
          <t>2026-02-09</t>
        </is>
      </c>
      <c r="J5" s="18" t="inlineStr">
        <is>
          <t>Q3 Earnings Announcement</t>
        </is>
      </c>
      <c r="K5" s="18" t="inlineStr">
        <is>
          <t>Exchange volumes &amp; transaction revenue</t>
        </is>
      </c>
    </row>
    <row r="6" ht="21" customHeight="1">
      <c r="A6" s="10" t="n">
        <v>2</v>
      </c>
      <c r="B6" s="10" t="inlineStr">
        <is>
          <t>Cochin</t>
        </is>
      </c>
      <c r="C6" s="20" t="inlineStr">
        <is>
          <t>Cochin Shipyard Ltd</t>
        </is>
      </c>
      <c r="D6" s="10" t="inlineStr">
        <is>
          <t>COCHINSHIP</t>
        </is>
      </c>
      <c r="E6" s="20" t="inlineStr">
        <is>
          <t>Defence &amp; Shipbuilding</t>
        </is>
      </c>
      <c r="F6" s="10" t="inlineStr">
        <is>
          <t>Mid Cap</t>
        </is>
      </c>
      <c r="G6" s="19" t="inlineStr">
        <is>
          <t>Scheduled Date</t>
        </is>
      </c>
      <c r="H6" s="10" t="inlineStr">
        <is>
          <t>28-Jan</t>
        </is>
      </c>
      <c r="I6" s="10" t="inlineStr">
        <is>
          <t>2026-01-28</t>
        </is>
      </c>
      <c r="J6" s="20" t="inlineStr">
        <is>
          <t>Q3 Earnings Announcement</t>
        </is>
      </c>
      <c r="K6" s="20" t="inlineStr">
        <is>
          <t>Naval defence orderbook execution &amp; margin trends</t>
        </is>
      </c>
    </row>
    <row r="7" ht="21" customHeight="1">
      <c r="A7" s="13" t="n">
        <v>3</v>
      </c>
      <c r="B7" s="13" t="inlineStr">
        <is>
          <t>GRSE</t>
        </is>
      </c>
      <c r="C7" s="18" t="inlineStr">
        <is>
          <t>Garden Reach Shipbuilders &amp; Engineers Ltd</t>
        </is>
      </c>
      <c r="D7" s="13" t="inlineStr">
        <is>
          <t>GRSE</t>
        </is>
      </c>
      <c r="E7" s="18" t="inlineStr">
        <is>
          <t>Defence &amp; Shipbuilding</t>
        </is>
      </c>
      <c r="F7" s="13" t="inlineStr">
        <is>
          <t>Small Cap</t>
        </is>
      </c>
      <c r="G7" s="19" t="inlineStr">
        <is>
          <t>Scheduled Date</t>
        </is>
      </c>
      <c r="H7" s="13" t="inlineStr">
        <is>
          <t>28-Jan</t>
        </is>
      </c>
      <c r="I7" s="13" t="inlineStr">
        <is>
          <t>2026-01-28</t>
        </is>
      </c>
      <c r="J7" s="18" t="inlineStr">
        <is>
          <t>Q3 Earnings Announcement</t>
        </is>
      </c>
      <c r="K7" s="18" t="inlineStr">
        <is>
          <t>Warship delivery timelines &amp; export order pipeline</t>
        </is>
      </c>
    </row>
    <row r="8" ht="21" customHeight="1">
      <c r="A8" s="10" t="n">
        <v>4</v>
      </c>
      <c r="B8" s="10" t="inlineStr">
        <is>
          <t>BDL</t>
        </is>
      </c>
      <c r="C8" s="20" t="inlineStr">
        <is>
          <t>Bharat Dynamics Ltd</t>
        </is>
      </c>
      <c r="D8" s="10" t="inlineStr">
        <is>
          <t>BDL</t>
        </is>
      </c>
      <c r="E8" s="20" t="inlineStr">
        <is>
          <t>Defence &amp; Aerospace</t>
        </is>
      </c>
      <c r="F8" s="10" t="inlineStr">
        <is>
          <t>Mid Cap</t>
        </is>
      </c>
      <c r="G8" s="19" t="inlineStr">
        <is>
          <t>Scheduled Date</t>
        </is>
      </c>
      <c r="H8" s="10" t="inlineStr">
        <is>
          <t>31-Jan</t>
        </is>
      </c>
      <c r="I8" s="10" t="inlineStr">
        <is>
          <t>2026-01-31</t>
        </is>
      </c>
      <c r="J8" s="20" t="inlineStr">
        <is>
          <t>Q3 Earnings Announcement</t>
        </is>
      </c>
      <c r="K8" s="20" t="inlineStr">
        <is>
          <t>Missile supply schedules &amp; export contracts</t>
        </is>
      </c>
    </row>
    <row r="9" ht="21" customHeight="1">
      <c r="A9" s="13" t="n">
        <v>5</v>
      </c>
      <c r="B9" s="13" t="inlineStr">
        <is>
          <t>DCB Bank</t>
        </is>
      </c>
      <c r="C9" s="18" t="inlineStr">
        <is>
          <t>DCB Bank Ltd</t>
        </is>
      </c>
      <c r="D9" s="13" t="inlineStr">
        <is>
          <t>DCBBANK</t>
        </is>
      </c>
      <c r="E9" s="18" t="inlineStr">
        <is>
          <t>Banking &amp; Financials</t>
        </is>
      </c>
      <c r="F9" s="13" t="inlineStr">
        <is>
          <t>Small Cap</t>
        </is>
      </c>
      <c r="G9" s="21" t="inlineStr">
        <is>
          <t>Bullish</t>
        </is>
      </c>
      <c r="H9" s="13" t="inlineStr">
        <is>
          <t>Watchlist</t>
        </is>
      </c>
      <c r="I9" s="13" t="inlineStr">
        <is>
          <t>2026-02-01</t>
        </is>
      </c>
      <c r="J9" s="18" t="inlineStr">
        <is>
          <t>Bullish Setup (Up Arrow)</t>
        </is>
      </c>
      <c r="K9" s="18" t="inlineStr">
        <is>
          <t>Retail credit growth, NIMs &amp; asset quality stability</t>
        </is>
      </c>
    </row>
    <row r="10" ht="21" customHeight="1">
      <c r="A10" s="10" t="n">
        <v>6</v>
      </c>
      <c r="B10" s="10" t="inlineStr">
        <is>
          <t>JK Paper</t>
        </is>
      </c>
      <c r="C10" s="20" t="inlineStr">
        <is>
          <t>JK Paper Ltd</t>
        </is>
      </c>
      <c r="D10" s="10" t="inlineStr">
        <is>
          <t>JKPAPER</t>
        </is>
      </c>
      <c r="E10" s="20" t="inlineStr">
        <is>
          <t>Paper &amp; Forest Products</t>
        </is>
      </c>
      <c r="F10" s="10" t="inlineStr">
        <is>
          <t>Small Cap</t>
        </is>
      </c>
      <c r="G10" s="19" t="inlineStr">
        <is>
          <t>Scheduled Date</t>
        </is>
      </c>
      <c r="H10" s="10" t="inlineStr">
        <is>
          <t>05-Feb</t>
        </is>
      </c>
      <c r="I10" s="10" t="inlineStr">
        <is>
          <t>2026-02-05</t>
        </is>
      </c>
      <c r="J10" s="20" t="inlineStr">
        <is>
          <t>Q3 Earnings Announcement</t>
        </is>
      </c>
      <c r="K10" s="20" t="inlineStr">
        <is>
          <t>Wood/raw material input costs &amp; realization margins</t>
        </is>
      </c>
    </row>
    <row r="11" ht="21" customHeight="1">
      <c r="A11" s="13" t="n">
        <v>7</v>
      </c>
      <c r="B11" s="13" t="inlineStr">
        <is>
          <t>Tata Motor PV</t>
        </is>
      </c>
      <c r="C11" s="18" t="inlineStr">
        <is>
          <t>Tata Motors Ltd (PV / EV)</t>
        </is>
      </c>
      <c r="D11" s="13" t="inlineStr">
        <is>
          <t>TATAMOTORS</t>
        </is>
      </c>
      <c r="E11" s="18" t="inlineStr">
        <is>
          <t>Automobiles &amp; EV</t>
        </is>
      </c>
      <c r="F11" s="13" t="inlineStr">
        <is>
          <t>Large Cap</t>
        </is>
      </c>
      <c r="G11" s="19" t="inlineStr">
        <is>
          <t>Scheduled Date</t>
        </is>
      </c>
      <c r="H11" s="13" t="inlineStr">
        <is>
          <t>05-Feb</t>
        </is>
      </c>
      <c r="I11" s="13" t="inlineStr">
        <is>
          <t>2026-02-05</t>
        </is>
      </c>
      <c r="J11" s="18" t="inlineStr">
        <is>
          <t>Q3 Earnings Announcement</t>
        </is>
      </c>
      <c r="K11" s="18" t="inlineStr">
        <is>
          <t>Passenger vehicle EV sales trajectory &amp; JLR profitability</t>
        </is>
      </c>
    </row>
    <row r="12" ht="21" customHeight="1">
      <c r="A12" s="10" t="n">
        <v>8</v>
      </c>
      <c r="B12" s="10" t="inlineStr">
        <is>
          <t>BEL</t>
        </is>
      </c>
      <c r="C12" s="20" t="inlineStr">
        <is>
          <t>Bharat Electronics Ltd</t>
        </is>
      </c>
      <c r="D12" s="10" t="inlineStr">
        <is>
          <t>BEL</t>
        </is>
      </c>
      <c r="E12" s="20" t="inlineStr">
        <is>
          <t>Defence Electronics</t>
        </is>
      </c>
      <c r="F12" s="10" t="inlineStr">
        <is>
          <t>Large Cap</t>
        </is>
      </c>
      <c r="G12" s="21" t="inlineStr">
        <is>
          <t>Bullish</t>
        </is>
      </c>
      <c r="H12" s="10" t="inlineStr">
        <is>
          <t>28-Jan</t>
        </is>
      </c>
      <c r="I12" s="10" t="inlineStr">
        <is>
          <t>2026-01-28</t>
        </is>
      </c>
      <c r="J12" s="20" t="inlineStr">
        <is>
          <t>Q3 Earnings + Bullish Setup</t>
        </is>
      </c>
      <c r="K12" s="20" t="inlineStr">
        <is>
          <t>Radar/avionics domestic order inflows &amp; indigenous execution</t>
        </is>
      </c>
    </row>
    <row r="13" ht="21" customHeight="1">
      <c r="A13" s="13" t="n">
        <v>9</v>
      </c>
      <c r="B13" s="13" t="inlineStr">
        <is>
          <t>HUDCO</t>
        </is>
      </c>
      <c r="C13" s="18" t="inlineStr">
        <is>
          <t>Housing &amp; Urban Development Corp Ltd</t>
        </is>
      </c>
      <c r="D13" s="13" t="inlineStr">
        <is>
          <t>HUDCO</t>
        </is>
      </c>
      <c r="E13" s="18" t="inlineStr">
        <is>
          <t>Housing &amp; Infra Finance / NBFC</t>
        </is>
      </c>
      <c r="F13" s="13" t="inlineStr">
        <is>
          <t>Mid Cap</t>
        </is>
      </c>
      <c r="G13" s="19" t="inlineStr">
        <is>
          <t>Scheduled Date</t>
        </is>
      </c>
      <c r="H13" s="13" t="inlineStr">
        <is>
          <t>29-Jan</t>
        </is>
      </c>
      <c r="I13" s="13" t="inlineStr">
        <is>
          <t>2026-01-29</t>
        </is>
      </c>
      <c r="J13" s="18" t="inlineStr">
        <is>
          <t>Q3 Earnings Announcement</t>
        </is>
      </c>
      <c r="K13" s="18" t="inlineStr">
        <is>
          <t>Urban housing loan disbursements &amp; low NPA profile</t>
        </is>
      </c>
    </row>
    <row r="14" ht="21" customHeight="1">
      <c r="A14" s="10" t="n">
        <v>10</v>
      </c>
      <c r="B14" s="10" t="inlineStr">
        <is>
          <t>REC</t>
        </is>
      </c>
      <c r="C14" s="20" t="inlineStr">
        <is>
          <t>REC Limited</t>
        </is>
      </c>
      <c r="D14" s="10" t="inlineStr">
        <is>
          <t>RECLTD</t>
        </is>
      </c>
      <c r="E14" s="20" t="inlineStr">
        <is>
          <t>Power Finance / NBFC</t>
        </is>
      </c>
      <c r="F14" s="10" t="inlineStr">
        <is>
          <t>Large Cap</t>
        </is>
      </c>
      <c r="G14" s="19" t="inlineStr">
        <is>
          <t>Scheduled Date</t>
        </is>
      </c>
      <c r="H14" s="10" t="inlineStr">
        <is>
          <t>29-Jan</t>
        </is>
      </c>
      <c r="I14" s="10" t="inlineStr">
        <is>
          <t>2026-01-29</t>
        </is>
      </c>
      <c r="J14" s="20" t="inlineStr">
        <is>
          <t>Q3 Earnings Announcement</t>
        </is>
      </c>
      <c r="K14" s="20" t="inlineStr">
        <is>
          <t>Power project refinancing &amp; renewable book expansion</t>
        </is>
      </c>
    </row>
    <row r="15" ht="21" customHeight="1">
      <c r="A15" s="13" t="n">
        <v>11</v>
      </c>
      <c r="B15" s="13" t="inlineStr">
        <is>
          <t>MCX</t>
        </is>
      </c>
      <c r="C15" s="18" t="inlineStr">
        <is>
          <t>Multi Commodity Exchange of India Ltd</t>
        </is>
      </c>
      <c r="D15" s="13" t="inlineStr">
        <is>
          <t>MCX</t>
        </is>
      </c>
      <c r="E15" s="18" t="inlineStr">
        <is>
          <t>Capital Markets &amp; Exchanges</t>
        </is>
      </c>
      <c r="F15" s="13" t="inlineStr">
        <is>
          <t>Mid Cap</t>
        </is>
      </c>
      <c r="G15" s="21" t="inlineStr">
        <is>
          <t>Strong Bullish</t>
        </is>
      </c>
      <c r="H15" s="13" t="inlineStr">
        <is>
          <t>Today</t>
        </is>
      </c>
      <c r="I15" s="13" t="inlineStr">
        <is>
          <t>2026-01-27</t>
        </is>
      </c>
      <c r="J15" s="18" t="inlineStr">
        <is>
          <t>Today's Result + Double Bullish</t>
        </is>
      </c>
      <c r="K15" s="18" t="inlineStr">
        <is>
          <t>Surging options trading volume &amp; tech migration benefits</t>
        </is>
      </c>
    </row>
    <row r="16" ht="21" customHeight="1">
      <c r="A16" s="10" t="n">
        <v>12</v>
      </c>
      <c r="B16" s="10" t="inlineStr">
        <is>
          <t>Trent</t>
        </is>
      </c>
      <c r="C16" s="20" t="inlineStr">
        <is>
          <t>Trent Ltd</t>
        </is>
      </c>
      <c r="D16" s="10" t="inlineStr">
        <is>
          <t>TRENT</t>
        </is>
      </c>
      <c r="E16" s="20" t="inlineStr">
        <is>
          <t>Consumer Retail &amp; Fashion</t>
        </is>
      </c>
      <c r="F16" s="10" t="inlineStr">
        <is>
          <t>Large Cap</t>
        </is>
      </c>
      <c r="G16" s="19" t="inlineStr">
        <is>
          <t>Scheduled Date</t>
        </is>
      </c>
      <c r="H16" s="10" t="inlineStr">
        <is>
          <t>04-Feb</t>
        </is>
      </c>
      <c r="I16" s="10" t="inlineStr">
        <is>
          <t>2026-02-04</t>
        </is>
      </c>
      <c r="J16" s="20" t="inlineStr">
        <is>
          <t>Q3 Earnings Announcement</t>
        </is>
      </c>
      <c r="K16" s="20" t="inlineStr">
        <is>
          <t>Zudio &amp; Westside same-store sales growth (SSSG)</t>
        </is>
      </c>
    </row>
    <row r="17" ht="21" customHeight="1">
      <c r="A17" s="13" t="n">
        <v>13</v>
      </c>
      <c r="B17" s="13" t="inlineStr">
        <is>
          <t>GE Vernova</t>
        </is>
      </c>
      <c r="C17" s="18" t="inlineStr">
        <is>
          <t>GE Vernova T&amp;D India Ltd</t>
        </is>
      </c>
      <c r="D17" s="13" t="inlineStr">
        <is>
          <t>GVT&amp;D</t>
        </is>
      </c>
      <c r="E17" s="18" t="inlineStr">
        <is>
          <t>Power Transmission &amp; Equipment</t>
        </is>
      </c>
      <c r="F17" s="13" t="inlineStr">
        <is>
          <t>Mid Cap</t>
        </is>
      </c>
      <c r="G17" s="19" t="inlineStr">
        <is>
          <t>Scheduled Date</t>
        </is>
      </c>
      <c r="H17" s="13" t="inlineStr">
        <is>
          <t>28-Jan</t>
        </is>
      </c>
      <c r="I17" s="13" t="inlineStr">
        <is>
          <t>2026-01-28</t>
        </is>
      </c>
      <c r="J17" s="18" t="inlineStr">
        <is>
          <t>Q3 Earnings Announcement</t>
        </is>
      </c>
      <c r="K17" s="18" t="inlineStr">
        <is>
          <t>Grid modernization orders &amp; high-voltage equipment demand</t>
        </is>
      </c>
    </row>
    <row r="18" ht="21" customHeight="1">
      <c r="A18" s="10" t="n">
        <v>14</v>
      </c>
      <c r="B18" s="10" t="inlineStr">
        <is>
          <t>CRISIL</t>
        </is>
      </c>
      <c r="C18" s="20" t="inlineStr">
        <is>
          <t>CRISIL Ltd</t>
        </is>
      </c>
      <c r="D18" s="10" t="inlineStr">
        <is>
          <t>CRISIL</t>
        </is>
      </c>
      <c r="E18" s="20" t="inlineStr">
        <is>
          <t>Credit Rating &amp; Analytics</t>
        </is>
      </c>
      <c r="F18" s="10" t="inlineStr">
        <is>
          <t>Mid Cap</t>
        </is>
      </c>
      <c r="G18" s="19" t="inlineStr">
        <is>
          <t>Scheduled Date</t>
        </is>
      </c>
      <c r="H18" s="10" t="inlineStr">
        <is>
          <t>12-Feb</t>
        </is>
      </c>
      <c r="I18" s="10" t="inlineStr">
        <is>
          <t>2026-02-12</t>
        </is>
      </c>
      <c r="J18" s="20" t="inlineStr">
        <is>
          <t>Q3/Annual Earnings Announcement</t>
        </is>
      </c>
      <c r="K18" s="20" t="inlineStr">
        <is>
          <t>Corporate bond rating pipeline &amp; global research mandates</t>
        </is>
      </c>
    </row>
    <row r="19" ht="21" customHeight="1">
      <c r="A19" s="13" t="n">
        <v>15</v>
      </c>
      <c r="B19" s="13" t="inlineStr">
        <is>
          <t>Welspun Corp</t>
        </is>
      </c>
      <c r="C19" s="18" t="inlineStr">
        <is>
          <t>Welspun Corp Ltd</t>
        </is>
      </c>
      <c r="D19" s="13" t="inlineStr">
        <is>
          <t>WELCORP</t>
        </is>
      </c>
      <c r="E19" s="18" t="inlineStr">
        <is>
          <t>Iron &amp; Steel Products / Pipes</t>
        </is>
      </c>
      <c r="F19" s="13" t="inlineStr">
        <is>
          <t>Mid Cap</t>
        </is>
      </c>
      <c r="G19" s="19" t="inlineStr">
        <is>
          <t>Scheduled Date</t>
        </is>
      </c>
      <c r="H19" s="13" t="inlineStr">
        <is>
          <t>30-Jan</t>
        </is>
      </c>
      <c r="I19" s="13" t="inlineStr">
        <is>
          <t>2026-01-30</t>
        </is>
      </c>
      <c r="J19" s="18" t="inlineStr">
        <is>
          <t>Q3 Earnings Announcement</t>
        </is>
      </c>
      <c r="K19" s="18" t="inlineStr">
        <is>
          <t>Oil &amp; gas line pipe orders &amp; US subsidiary contribution</t>
        </is>
      </c>
    </row>
    <row r="20" ht="21" customHeight="1">
      <c r="A20" s="10" t="n">
        <v>16</v>
      </c>
      <c r="B20" s="10" t="inlineStr">
        <is>
          <t>Nalco</t>
        </is>
      </c>
      <c r="C20" s="20" t="inlineStr">
        <is>
          <t>National Aluminium Company Ltd</t>
        </is>
      </c>
      <c r="D20" s="10" t="inlineStr">
        <is>
          <t>NATIONALUM</t>
        </is>
      </c>
      <c r="E20" s="20" t="inlineStr">
        <is>
          <t>Metals &amp; Mining / Aluminium</t>
        </is>
      </c>
      <c r="F20" s="10" t="inlineStr">
        <is>
          <t>Large Cap</t>
        </is>
      </c>
      <c r="G20" s="19" t="inlineStr">
        <is>
          <t>Scheduled Date</t>
        </is>
      </c>
      <c r="H20" s="10" t="inlineStr">
        <is>
          <t>30-Jan</t>
        </is>
      </c>
      <c r="I20" s="10" t="inlineStr">
        <is>
          <t>2026-01-30</t>
        </is>
      </c>
      <c r="J20" s="20" t="inlineStr">
        <is>
          <t>Q3 Earnings Announcement</t>
        </is>
      </c>
      <c r="K20" s="20" t="inlineStr">
        <is>
          <t>LME aluminium price realizations &amp; bauxite mine output</t>
        </is>
      </c>
    </row>
    <row r="21" ht="21" customHeight="1">
      <c r="A21" s="13" t="n">
        <v>17</v>
      </c>
      <c r="B21" s="13" t="inlineStr">
        <is>
          <t>TMCV</t>
        </is>
      </c>
      <c r="C21" s="18" t="inlineStr">
        <is>
          <t>Tata Motors Commercial Vehicles</t>
        </is>
      </c>
      <c r="D21" s="13" t="inlineStr">
        <is>
          <t>TATAMOTORS</t>
        </is>
      </c>
      <c r="E21" s="18" t="inlineStr">
        <is>
          <t>Commercial Vehicles</t>
        </is>
      </c>
      <c r="F21" s="13" t="inlineStr">
        <is>
          <t>Large Cap</t>
        </is>
      </c>
      <c r="G21" s="19" t="inlineStr">
        <is>
          <t>Scheduled Date</t>
        </is>
      </c>
      <c r="H21" s="13" t="inlineStr">
        <is>
          <t>29-Jan</t>
        </is>
      </c>
      <c r="I21" s="13" t="inlineStr">
        <is>
          <t>2026-01-29</t>
        </is>
      </c>
      <c r="J21" s="18" t="inlineStr">
        <is>
          <t>Q3 Earnings Announcement</t>
        </is>
      </c>
      <c r="K21" s="18" t="inlineStr">
        <is>
          <t>Medium &amp; Heavy Commercial Vehicle (MHCV) tonnage growth</t>
        </is>
      </c>
    </row>
    <row r="22" ht="21" customHeight="1">
      <c r="A22" s="10" t="n">
        <v>18</v>
      </c>
      <c r="B22" s="10" t="inlineStr">
        <is>
          <t>Godrej Agro/Prop</t>
        </is>
      </c>
      <c r="C22" s="20" t="inlineStr">
        <is>
          <t>Godrej Properties / Godrej Agrovet</t>
        </is>
      </c>
      <c r="D22" s="10" t="inlineStr">
        <is>
          <t>GODREJPROP</t>
        </is>
      </c>
      <c r="E22" s="20" t="inlineStr">
        <is>
          <t>Real Estate &amp; Agri-Business</t>
        </is>
      </c>
      <c r="F22" s="10" t="inlineStr">
        <is>
          <t>Large Cap</t>
        </is>
      </c>
      <c r="G22" s="19" t="inlineStr">
        <is>
          <t>Scheduled Date</t>
        </is>
      </c>
      <c r="H22" s="10" t="inlineStr">
        <is>
          <t>05-Feb</t>
        </is>
      </c>
      <c r="I22" s="10" t="inlineStr">
        <is>
          <t>2026-02-05</t>
        </is>
      </c>
      <c r="J22" s="20" t="inlineStr">
        <is>
          <t>Q3 Earnings Announcement</t>
        </is>
      </c>
      <c r="K22" s="20" t="inlineStr">
        <is>
          <t>Pre-sales booking momentum &amp; new land parcel additions</t>
        </is>
      </c>
    </row>
    <row r="23" ht="21" customHeight="1">
      <c r="A23" s="13" t="n">
        <v>19</v>
      </c>
      <c r="B23" s="13" t="inlineStr">
        <is>
          <t>PGEL</t>
        </is>
      </c>
      <c r="C23" s="18" t="inlineStr">
        <is>
          <t>PG Electroplast Ltd</t>
        </is>
      </c>
      <c r="D23" s="13" t="inlineStr">
        <is>
          <t>PGEL</t>
        </is>
      </c>
      <c r="E23" s="18" t="inlineStr">
        <is>
          <t>Consumer Electronics &amp; EMS</t>
        </is>
      </c>
      <c r="F23" s="13" t="inlineStr">
        <is>
          <t>Mid Cap</t>
        </is>
      </c>
      <c r="G23" s="13" t="inlineStr">
        <is>
          <t>Watchlist</t>
        </is>
      </c>
      <c r="H23" s="13" t="inlineStr">
        <is>
          <t>Watchlist</t>
        </is>
      </c>
      <c r="I23" s="13" t="inlineStr"/>
      <c r="J23" s="18" t="inlineStr">
        <is>
          <t>EMS Growth Tracking</t>
        </is>
      </c>
      <c r="K23" s="18" t="inlineStr">
        <is>
          <t>Room AC &amp; consumer durable contract manufacturing scale</t>
        </is>
      </c>
    </row>
    <row r="24" ht="21" customHeight="1">
      <c r="A24" s="10" t="n">
        <v>20</v>
      </c>
      <c r="B24" s="10" t="inlineStr">
        <is>
          <t>INA</t>
        </is>
      </c>
      <c r="C24" s="20" t="inlineStr">
        <is>
          <t>Insolation Energy Ltd</t>
        </is>
      </c>
      <c r="D24" s="10" t="inlineStr">
        <is>
          <t>INA</t>
        </is>
      </c>
      <c r="E24" s="20" t="inlineStr">
        <is>
          <t>Renewable Energy / Solar</t>
        </is>
      </c>
      <c r="F24" s="10" t="inlineStr">
        <is>
          <t>Small Cap</t>
        </is>
      </c>
      <c r="G24" s="10" t="inlineStr">
        <is>
          <t>Watchlist</t>
        </is>
      </c>
      <c r="H24" s="10" t="inlineStr">
        <is>
          <t>Watchlist</t>
        </is>
      </c>
      <c r="I24" s="10" t="inlineStr"/>
      <c r="J24" s="20" t="inlineStr">
        <is>
          <t>Solar Module Expansion</t>
        </is>
      </c>
      <c r="K24" s="20" t="inlineStr">
        <is>
          <t>Solar panel manufacturing capacity additions &amp; ALMM orders</t>
        </is>
      </c>
    </row>
    <row r="25" ht="21" customHeight="1">
      <c r="A25" s="13" t="n">
        <v>21</v>
      </c>
      <c r="B25" s="13" t="inlineStr">
        <is>
          <t>Ather Energy</t>
        </is>
      </c>
      <c r="C25" s="18" t="inlineStr">
        <is>
          <t>Ather Energy Ltd</t>
        </is>
      </c>
      <c r="D25" s="13" t="inlineStr">
        <is>
          <t>ATHER (Pre-IPO)</t>
        </is>
      </c>
      <c r="E25" s="18" t="inlineStr">
        <is>
          <t>Automobiles &amp; EV</t>
        </is>
      </c>
      <c r="F25" s="13" t="inlineStr">
        <is>
          <t>IPO / Unlisted</t>
        </is>
      </c>
      <c r="G25" s="13" t="inlineStr">
        <is>
          <t>Watchlist</t>
        </is>
      </c>
      <c r="H25" s="13" t="inlineStr">
        <is>
          <t>IPO Watch</t>
        </is>
      </c>
      <c r="I25" s="13" t="inlineStr"/>
      <c r="J25" s="18" t="inlineStr">
        <is>
          <t>Upcoming Electric 2W IPO</t>
        </is>
      </c>
      <c r="K25" s="18" t="inlineStr">
        <is>
          <t>Two-wheeler EV market share &amp; battery plant ramp-up</t>
        </is>
      </c>
    </row>
    <row r="26" ht="21" customHeight="1">
      <c r="A26" s="10" t="n">
        <v>22</v>
      </c>
      <c r="B26" s="10" t="inlineStr">
        <is>
          <t>Saatvik Energy</t>
        </is>
      </c>
      <c r="C26" s="20" t="inlineStr">
        <is>
          <t>Saatvik Green Energy Ltd</t>
        </is>
      </c>
      <c r="D26" s="10" t="inlineStr">
        <is>
          <t>SAATVIK (Pre-IPO)</t>
        </is>
      </c>
      <c r="E26" s="20" t="inlineStr">
        <is>
          <t>Renewable Energy / Solar</t>
        </is>
      </c>
      <c r="F26" s="10" t="inlineStr">
        <is>
          <t>IPO / Unlisted</t>
        </is>
      </c>
      <c r="G26" s="10" t="inlineStr">
        <is>
          <t>Watchlist</t>
        </is>
      </c>
      <c r="H26" s="10" t="inlineStr">
        <is>
          <t>IPO Watch</t>
        </is>
      </c>
      <c r="I26" s="10" t="inlineStr"/>
      <c r="J26" s="20" t="inlineStr">
        <is>
          <t>Upcoming Solar Manufacturing IPO</t>
        </is>
      </c>
      <c r="K26" s="20" t="inlineStr">
        <is>
          <t>High-efficiency TOPCon solar module order pipeline</t>
        </is>
      </c>
    </row>
    <row r="27" ht="21" customHeight="1">
      <c r="A27" s="13" t="n">
        <v>23</v>
      </c>
      <c r="B27" s="13" t="inlineStr">
        <is>
          <t>Waaree RTL</t>
        </is>
      </c>
      <c r="C27" s="18" t="inlineStr">
        <is>
          <t>Waaree Renewable Technologies Ltd</t>
        </is>
      </c>
      <c r="D27" s="13" t="inlineStr">
        <is>
          <t>WAAREERTL</t>
        </is>
      </c>
      <c r="E27" s="18" t="inlineStr">
        <is>
          <t>Renewable Energy / Solar EPC</t>
        </is>
      </c>
      <c r="F27" s="13" t="inlineStr">
        <is>
          <t>Small Cap</t>
        </is>
      </c>
      <c r="G27" s="21" t="inlineStr">
        <is>
          <t>Strong Bullish</t>
        </is>
      </c>
      <c r="H27" s="13" t="inlineStr">
        <is>
          <t>Watchlist</t>
        </is>
      </c>
      <c r="I27" s="13" t="inlineStr"/>
      <c r="J27" s="18" t="inlineStr">
        <is>
          <t>Double Bullish (Up Arrows)</t>
        </is>
      </c>
      <c r="K27" s="18" t="inlineStr">
        <is>
          <t>Utility-scale ground mount solar EPC contract pipeline</t>
        </is>
      </c>
    </row>
    <row r="28" ht="21" customHeight="1">
      <c r="A28" s="10" t="n">
        <v>24</v>
      </c>
      <c r="B28" s="10" t="inlineStr">
        <is>
          <t>Motilal Oswal</t>
        </is>
      </c>
      <c r="C28" s="20" t="inlineStr">
        <is>
          <t>Motilal Oswal Financial Services Ltd</t>
        </is>
      </c>
      <c r="D28" s="10" t="inlineStr">
        <is>
          <t>MOTILALOFS</t>
        </is>
      </c>
      <c r="E28" s="20" t="inlineStr">
        <is>
          <t>Capital Markets &amp; Broking</t>
        </is>
      </c>
      <c r="F28" s="10" t="inlineStr">
        <is>
          <t>Mid Cap</t>
        </is>
      </c>
      <c r="G28" s="19" t="inlineStr">
        <is>
          <t>Scheduled Date</t>
        </is>
      </c>
      <c r="H28" s="10" t="inlineStr">
        <is>
          <t>27-Jan</t>
        </is>
      </c>
      <c r="I28" s="10" t="inlineStr">
        <is>
          <t>2026-01-27</t>
        </is>
      </c>
      <c r="J28" s="20" t="inlineStr">
        <is>
          <t>Q3 Earnings + Sideways</t>
        </is>
      </c>
      <c r="K28" s="20" t="inlineStr">
        <is>
          <t>Broking retail volume, AMC AUM growth &amp; treasury gains</t>
        </is>
      </c>
    </row>
    <row r="29" ht="21" customHeight="1">
      <c r="A29" s="13" t="n">
        <v>25</v>
      </c>
      <c r="B29" s="13" t="inlineStr">
        <is>
          <t>Dixon</t>
        </is>
      </c>
      <c r="C29" s="18" t="inlineStr">
        <is>
          <t>Dixon Technologies (India) Ltd</t>
        </is>
      </c>
      <c r="D29" s="13" t="inlineStr">
        <is>
          <t>DIXON</t>
        </is>
      </c>
      <c r="E29" s="18" t="inlineStr">
        <is>
          <t>Consumer Electronics &amp; EMS</t>
        </is>
      </c>
      <c r="F29" s="13" t="inlineStr">
        <is>
          <t>Large Cap</t>
        </is>
      </c>
      <c r="G29" s="19" t="inlineStr">
        <is>
          <t>Scheduled Date</t>
        </is>
      </c>
      <c r="H29" s="13" t="inlineStr">
        <is>
          <t>29-Jan</t>
        </is>
      </c>
      <c r="I29" s="13" t="inlineStr">
        <is>
          <t>2026-01-29</t>
        </is>
      </c>
      <c r="J29" s="18" t="inlineStr">
        <is>
          <t>Q3 Earnings Announcement</t>
        </is>
      </c>
      <c r="K29" s="18" t="inlineStr">
        <is>
          <t>Mobile phone assembly scale-up &amp; IT hardware PLI benefits</t>
        </is>
      </c>
    </row>
    <row r="30" ht="21" customHeight="1">
      <c r="A30" s="10" t="n">
        <v>26</v>
      </c>
      <c r="B30" s="10" t="inlineStr">
        <is>
          <t>Titagarh</t>
        </is>
      </c>
      <c r="C30" s="20" t="inlineStr">
        <is>
          <t>Titagarh Rail Systems Ltd</t>
        </is>
      </c>
      <c r="D30" s="10" t="inlineStr">
        <is>
          <t>TITAGARH</t>
        </is>
      </c>
      <c r="E30" s="20" t="inlineStr">
        <is>
          <t>Railways &amp; Metro</t>
        </is>
      </c>
      <c r="F30" s="10" t="inlineStr">
        <is>
          <t>Mid Cap</t>
        </is>
      </c>
      <c r="G30" s="10" t="inlineStr">
        <is>
          <t>Watchlist</t>
        </is>
      </c>
      <c r="H30" s="10" t="inlineStr">
        <is>
          <t>Watchlist</t>
        </is>
      </c>
      <c r="I30" s="10" t="inlineStr"/>
      <c r="J30" s="20" t="inlineStr">
        <is>
          <t>Rail Infrastructure Theme</t>
        </is>
      </c>
      <c r="K30" s="20" t="inlineStr">
        <is>
          <t>Vande Bharat / Metro trainset supply &amp; freight wagon orders</t>
        </is>
      </c>
    </row>
    <row r="31" ht="21" customHeight="1">
      <c r="A31" s="13" t="n">
        <v>27</v>
      </c>
      <c r="B31" s="13" t="inlineStr">
        <is>
          <t>Lloyds</t>
        </is>
      </c>
      <c r="C31" s="18" t="inlineStr">
        <is>
          <t>Lloyds Engineering Works Ltd</t>
        </is>
      </c>
      <c r="D31" s="13" t="inlineStr">
        <is>
          <t>LLOYDSENGG</t>
        </is>
      </c>
      <c r="E31" s="18" t="inlineStr">
        <is>
          <t>Heavy Engineering &amp; Capital Goods</t>
        </is>
      </c>
      <c r="F31" s="13" t="inlineStr">
        <is>
          <t>Mid Cap</t>
        </is>
      </c>
      <c r="G31" s="13" t="inlineStr">
        <is>
          <t>Watchlist</t>
        </is>
      </c>
      <c r="H31" s="13" t="inlineStr">
        <is>
          <t>Watchlist</t>
        </is>
      </c>
      <c r="I31" s="13" t="inlineStr"/>
      <c r="J31" s="18" t="inlineStr">
        <is>
          <t>Capital Goods Momentum</t>
        </is>
      </c>
      <c r="K31" s="18" t="inlineStr">
        <is>
          <t>Marine &amp; infrastructure equipment order book growth</t>
        </is>
      </c>
    </row>
    <row r="32" ht="21" customHeight="1">
      <c r="A32" s="10" t="n">
        <v>28</v>
      </c>
      <c r="B32" s="10" t="inlineStr">
        <is>
          <t>Suzlon</t>
        </is>
      </c>
      <c r="C32" s="20" t="inlineStr">
        <is>
          <t>Suzlon Energy Ltd</t>
        </is>
      </c>
      <c r="D32" s="10" t="inlineStr">
        <is>
          <t>SUZLON</t>
        </is>
      </c>
      <c r="E32" s="20" t="inlineStr">
        <is>
          <t>Renewable Energy / Wind</t>
        </is>
      </c>
      <c r="F32" s="10" t="inlineStr">
        <is>
          <t>Large Cap</t>
        </is>
      </c>
      <c r="G32" s="22" t="inlineStr">
        <is>
          <t>Bearish</t>
        </is>
      </c>
      <c r="H32" s="10" t="inlineStr">
        <is>
          <t>05-Feb</t>
        </is>
      </c>
      <c r="I32" s="10" t="inlineStr">
        <is>
          <t>2026-02-05</t>
        </is>
      </c>
      <c r="J32" s="20" t="inlineStr">
        <is>
          <t>Q3 Earnings + Bearish Correction</t>
        </is>
      </c>
      <c r="K32" s="20" t="inlineStr">
        <is>
          <t>Wind turbine delivery execution &amp; WTG supply chain health</t>
        </is>
      </c>
    </row>
    <row r="33" ht="21" customHeight="1">
      <c r="A33" s="13" t="n">
        <v>29</v>
      </c>
      <c r="B33" s="13" t="inlineStr">
        <is>
          <t>Inox Wind</t>
        </is>
      </c>
      <c r="C33" s="18" t="inlineStr">
        <is>
          <t>Inox Wind Ltd</t>
        </is>
      </c>
      <c r="D33" s="13" t="inlineStr">
        <is>
          <t>INOXWIND</t>
        </is>
      </c>
      <c r="E33" s="18" t="inlineStr">
        <is>
          <t>Renewable Energy / Wind</t>
        </is>
      </c>
      <c r="F33" s="13" t="inlineStr">
        <is>
          <t>Mid Cap</t>
        </is>
      </c>
      <c r="G33" s="13" t="inlineStr">
        <is>
          <t>Watchlist</t>
        </is>
      </c>
      <c r="H33" s="13" t="inlineStr">
        <is>
          <t>Watchlist</t>
        </is>
      </c>
      <c r="I33" s="13" t="inlineStr"/>
      <c r="J33" s="18" t="inlineStr">
        <is>
          <t>Wind Energy Order Pipeline</t>
        </is>
      </c>
      <c r="K33" s="18" t="inlineStr">
        <is>
          <t>3.3 MW turbine commercial rollout &amp; debt reduction progress</t>
        </is>
      </c>
    </row>
    <row r="34" ht="21" customHeight="1">
      <c r="A34" s="10" t="n">
        <v>30</v>
      </c>
      <c r="B34" s="10" t="inlineStr">
        <is>
          <t>HAL</t>
        </is>
      </c>
      <c r="C34" s="20" t="inlineStr">
        <is>
          <t>Hindustan Aeronautics Ltd</t>
        </is>
      </c>
      <c r="D34" s="10" t="inlineStr">
        <is>
          <t>HAL</t>
        </is>
      </c>
      <c r="E34" s="20" t="inlineStr">
        <is>
          <t>Defence &amp; Aerospace</t>
        </is>
      </c>
      <c r="F34" s="10" t="inlineStr">
        <is>
          <t>Large Cap</t>
        </is>
      </c>
      <c r="G34" s="10" t="inlineStr">
        <is>
          <t>Watchlist</t>
        </is>
      </c>
      <c r="H34" s="10" t="inlineStr">
        <is>
          <t>Watchlist</t>
        </is>
      </c>
      <c r="I34" s="10" t="inlineStr"/>
      <c r="J34" s="20" t="inlineStr">
        <is>
          <t>Core Defence Aerospace Play</t>
        </is>
      </c>
      <c r="K34" s="20" t="inlineStr">
        <is>
          <t>Tejas fighter jet engine supply &amp; multi-role helicopter orders</t>
        </is>
      </c>
    </row>
    <row r="35" ht="21" customHeight="1">
      <c r="A35" s="13" t="n">
        <v>31</v>
      </c>
      <c r="B35" s="13" t="inlineStr">
        <is>
          <t>Mazdock</t>
        </is>
      </c>
      <c r="C35" s="18" t="inlineStr">
        <is>
          <t>Mazagon Dock Shipbuilders Ltd</t>
        </is>
      </c>
      <c r="D35" s="13" t="inlineStr">
        <is>
          <t>MAZDOCK</t>
        </is>
      </c>
      <c r="E35" s="18" t="inlineStr">
        <is>
          <t>Defence &amp; Shipbuilding</t>
        </is>
      </c>
      <c r="F35" s="13" t="inlineStr">
        <is>
          <t>Large Cap</t>
        </is>
      </c>
      <c r="G35" s="13" t="inlineStr">
        <is>
          <t>Watchlist</t>
        </is>
      </c>
      <c r="H35" s="13" t="inlineStr">
        <is>
          <t>Watchlist</t>
        </is>
      </c>
      <c r="I35" s="13" t="inlineStr"/>
      <c r="J35" s="18" t="inlineStr">
        <is>
          <t>Naval Submarine &amp; Warship Play</t>
        </is>
      </c>
      <c r="K35" s="18" t="inlineStr">
        <is>
          <t>Next-gen corvette contracts &amp; submarine overhaul cycles</t>
        </is>
      </c>
    </row>
    <row r="36" ht="21" customHeight="1">
      <c r="A36" s="10" t="n">
        <v>32</v>
      </c>
      <c r="B36" s="10" t="inlineStr">
        <is>
          <t>NMDC</t>
        </is>
      </c>
      <c r="C36" s="20" t="inlineStr">
        <is>
          <t>NMDC Ltd</t>
        </is>
      </c>
      <c r="D36" s="10" t="inlineStr">
        <is>
          <t>NMDC</t>
        </is>
      </c>
      <c r="E36" s="20" t="inlineStr">
        <is>
          <t>Metals &amp; Mining / Iron Ore</t>
        </is>
      </c>
      <c r="F36" s="10" t="inlineStr">
        <is>
          <t>Large Cap</t>
        </is>
      </c>
      <c r="G36" s="10" t="inlineStr">
        <is>
          <t>Watchlist</t>
        </is>
      </c>
      <c r="H36" s="10" t="inlineStr">
        <is>
          <t>Watchlist</t>
        </is>
      </c>
      <c r="I36" s="10" t="inlineStr"/>
      <c r="J36" s="20" t="inlineStr">
        <is>
          <t>Mining Volume &amp; Royalty Play</t>
        </is>
      </c>
      <c r="K36" s="20" t="inlineStr">
        <is>
          <t>Iron ore production/sales targets &amp; domestic steel demand</t>
        </is>
      </c>
    </row>
    <row r="37" ht="21" customHeight="1">
      <c r="A37" s="13" t="n">
        <v>33</v>
      </c>
      <c r="B37" s="13" t="inlineStr">
        <is>
          <t>RVNL</t>
        </is>
      </c>
      <c r="C37" s="18" t="inlineStr">
        <is>
          <t>Rail Vikas Nigam Ltd</t>
        </is>
      </c>
      <c r="D37" s="13" t="inlineStr">
        <is>
          <t>RVNL</t>
        </is>
      </c>
      <c r="E37" s="18" t="inlineStr">
        <is>
          <t>Railways Infrastructure</t>
        </is>
      </c>
      <c r="F37" s="13" t="inlineStr">
        <is>
          <t>Large Cap</t>
        </is>
      </c>
      <c r="G37" s="19" t="inlineStr">
        <is>
          <t>Scheduled Date</t>
        </is>
      </c>
      <c r="H37" s="13" t="inlineStr">
        <is>
          <t>05-Feb</t>
        </is>
      </c>
      <c r="I37" s="13" t="inlineStr">
        <is>
          <t>2026-02-05</t>
        </is>
      </c>
      <c r="J37" s="18" t="inlineStr">
        <is>
          <t>Q3 Earnings Announcement</t>
        </is>
      </c>
      <c r="K37" s="18" t="inlineStr">
        <is>
          <t>Domestic railway track doubling, metro lines &amp; overseas bids</t>
        </is>
      </c>
    </row>
    <row r="38" ht="21" customHeight="1">
      <c r="A38" s="10" t="n">
        <v>34</v>
      </c>
      <c r="B38" s="10" t="inlineStr">
        <is>
          <t>RailTel</t>
        </is>
      </c>
      <c r="C38" s="20" t="inlineStr">
        <is>
          <t>RailTel Corporation of India Ltd</t>
        </is>
      </c>
      <c r="D38" s="10" t="inlineStr">
        <is>
          <t>RAILTEL</t>
        </is>
      </c>
      <c r="E38" s="20" t="inlineStr">
        <is>
          <t>Telecom &amp; Railways Tech</t>
        </is>
      </c>
      <c r="F38" s="10" t="inlineStr">
        <is>
          <t>Small Cap</t>
        </is>
      </c>
      <c r="G38" s="10" t="inlineStr">
        <is>
          <t>Watchlist</t>
        </is>
      </c>
      <c r="H38" s="10" t="inlineStr">
        <is>
          <t>Watchlist</t>
        </is>
      </c>
      <c r="I38" s="10" t="inlineStr"/>
      <c r="J38" s="20" t="inlineStr">
        <is>
          <t>Railway Telecom &amp; Kavach Play</t>
        </is>
      </c>
      <c r="K38" s="20" t="inlineStr">
        <is>
          <t>Telecom optic fibre leasing, Kavach systems &amp; data centers</t>
        </is>
      </c>
    </row>
    <row r="39" ht="21" customHeight="1">
      <c r="A39" s="13" t="n">
        <v>35</v>
      </c>
      <c r="B39" s="13" t="inlineStr">
        <is>
          <t>Awfis Space</t>
        </is>
      </c>
      <c r="C39" s="18" t="inlineStr">
        <is>
          <t>Awfis Space Solutions Ltd</t>
        </is>
      </c>
      <c r="D39" s="13" t="inlineStr">
        <is>
          <t>AWFIS</t>
        </is>
      </c>
      <c r="E39" s="18" t="inlineStr">
        <is>
          <t>Real Estate &amp; Co-working</t>
        </is>
      </c>
      <c r="F39" s="13" t="inlineStr">
        <is>
          <t>Small Cap</t>
        </is>
      </c>
      <c r="G39" s="13" t="inlineStr">
        <is>
          <t>Watchlist</t>
        </is>
      </c>
      <c r="H39" s="13" t="inlineStr">
        <is>
          <t>Watchlist</t>
        </is>
      </c>
      <c r="I39" s="13" t="inlineStr"/>
      <c r="J39" s="18" t="inlineStr">
        <is>
          <t>Flexible Workspace Expansion</t>
        </is>
      </c>
      <c r="K39" s="18" t="inlineStr">
        <is>
          <t>Enterprise seat additions &amp; center occupancy improvements</t>
        </is>
      </c>
    </row>
    <row r="40" ht="21" customHeight="1">
      <c r="A40" s="10" t="n">
        <v>36</v>
      </c>
      <c r="B40" s="10" t="inlineStr">
        <is>
          <t>HG Infra</t>
        </is>
      </c>
      <c r="C40" s="20" t="inlineStr">
        <is>
          <t>H.G. Infra Engineering Ltd</t>
        </is>
      </c>
      <c r="D40" s="10" t="inlineStr">
        <is>
          <t>HGINFRA</t>
        </is>
      </c>
      <c r="E40" s="20" t="inlineStr">
        <is>
          <t>Infrastructure &amp; Construction</t>
        </is>
      </c>
      <c r="F40" s="10" t="inlineStr">
        <is>
          <t>Small Cap</t>
        </is>
      </c>
      <c r="G40" s="10" t="inlineStr">
        <is>
          <t>Watchlist</t>
        </is>
      </c>
      <c r="H40" s="10" t="inlineStr">
        <is>
          <t>Watchlist</t>
        </is>
      </c>
      <c r="I40" s="10" t="inlineStr"/>
      <c r="J40" s="20" t="inlineStr">
        <is>
          <t>Highways &amp; Solar EPC</t>
        </is>
      </c>
      <c r="K40" s="20" t="inlineStr">
        <is>
          <t>HAM highway project awards &amp; diversification into solar EPC</t>
        </is>
      </c>
    </row>
    <row r="41" ht="21" customHeight="1">
      <c r="A41" s="13" t="n">
        <v>37</v>
      </c>
      <c r="B41" s="13" t="inlineStr">
        <is>
          <t>Authum Inv</t>
        </is>
      </c>
      <c r="C41" s="18" t="inlineStr">
        <is>
          <t>Authum Investment &amp; Infrastructure Ltd</t>
        </is>
      </c>
      <c r="D41" s="13" t="inlineStr">
        <is>
          <t>AUTHUM</t>
        </is>
      </c>
      <c r="E41" s="18" t="inlineStr">
        <is>
          <t>NBFC &amp; Financial Services</t>
        </is>
      </c>
      <c r="F41" s="13" t="inlineStr">
        <is>
          <t>Mid Cap</t>
        </is>
      </c>
      <c r="G41" s="13" t="inlineStr">
        <is>
          <t>Watchlist</t>
        </is>
      </c>
      <c r="H41" s="13" t="inlineStr">
        <is>
          <t>Watchlist</t>
        </is>
      </c>
      <c r="I41" s="13" t="inlineStr"/>
      <c r="J41" s="18" t="inlineStr">
        <is>
          <t>Financial Holding / Value Play</t>
        </is>
      </c>
      <c r="K41" s="18" t="inlineStr">
        <is>
          <t>Proprietary equity investment portfolio valuation</t>
        </is>
      </c>
    </row>
    <row r="42" ht="21" customHeight="1">
      <c r="A42" s="10" t="n">
        <v>38</v>
      </c>
      <c r="B42" s="10" t="inlineStr">
        <is>
          <t>Delhivery</t>
        </is>
      </c>
      <c r="C42" s="20" t="inlineStr">
        <is>
          <t>Delhivery Ltd</t>
        </is>
      </c>
      <c r="D42" s="10" t="inlineStr">
        <is>
          <t>DELHIVERY</t>
        </is>
      </c>
      <c r="E42" s="20" t="inlineStr">
        <is>
          <t>Logistics &amp; Supply Chain</t>
        </is>
      </c>
      <c r="F42" s="10" t="inlineStr">
        <is>
          <t>Mid Cap</t>
        </is>
      </c>
      <c r="G42" s="22" t="inlineStr">
        <is>
          <t>Bearish</t>
        </is>
      </c>
      <c r="H42" s="10" t="inlineStr">
        <is>
          <t>31-Jan</t>
        </is>
      </c>
      <c r="I42" s="10" t="inlineStr">
        <is>
          <t>2026-01-31</t>
        </is>
      </c>
      <c r="J42" s="20" t="inlineStr">
        <is>
          <t>Q3 Earnings + Downward Trend</t>
        </is>
      </c>
      <c r="K42" s="20" t="inlineStr">
        <is>
          <t>Express parcel shipment volumes &amp; truckload network yield</t>
        </is>
      </c>
    </row>
    <row r="43" ht="21" customHeight="1">
      <c r="A43" s="13" t="n">
        <v>39</v>
      </c>
      <c r="B43" s="13" t="inlineStr">
        <is>
          <t>Ola Electric</t>
        </is>
      </c>
      <c r="C43" s="18" t="inlineStr">
        <is>
          <t>Ola Electric Mobility Ltd</t>
        </is>
      </c>
      <c r="D43" s="13" t="inlineStr">
        <is>
          <t>OLAELEC</t>
        </is>
      </c>
      <c r="E43" s="18" t="inlineStr">
        <is>
          <t>Automobiles &amp; EV</t>
        </is>
      </c>
      <c r="F43" s="13" t="inlineStr">
        <is>
          <t>Mid Cap</t>
        </is>
      </c>
      <c r="G43" s="13" t="inlineStr">
        <is>
          <t>Watchlist</t>
        </is>
      </c>
      <c r="H43" s="13" t="inlineStr">
        <is>
          <t>Watchlist</t>
        </is>
      </c>
      <c r="I43" s="13" t="inlineStr"/>
      <c r="J43" s="18" t="inlineStr">
        <is>
          <t>EV Two-Wheeler Transition</t>
        </is>
      </c>
      <c r="K43" s="18" t="inlineStr">
        <is>
          <t>Gen-3 scooter margins, service network &amp; Gigafactory battery</t>
        </is>
      </c>
    </row>
    <row r="44" ht="21" customHeight="1">
      <c r="A44" s="10" t="n">
        <v>40</v>
      </c>
      <c r="B44" s="10" t="inlineStr">
        <is>
          <t>Kaynes Tech</t>
        </is>
      </c>
      <c r="C44" s="20" t="inlineStr">
        <is>
          <t>Kaynes Technology India Ltd</t>
        </is>
      </c>
      <c r="D44" s="10" t="inlineStr">
        <is>
          <t>KAYNES</t>
        </is>
      </c>
      <c r="E44" s="20" t="inlineStr">
        <is>
          <t>Consumer Electronics &amp; EMS</t>
        </is>
      </c>
      <c r="F44" s="10" t="inlineStr">
        <is>
          <t>Mid Cap</t>
        </is>
      </c>
      <c r="G44" s="19" t="inlineStr">
        <is>
          <t>Scheduled Date</t>
        </is>
      </c>
      <c r="H44" s="10" t="inlineStr">
        <is>
          <t>05-Feb</t>
        </is>
      </c>
      <c r="I44" s="10" t="inlineStr">
        <is>
          <t>2026-02-05</t>
        </is>
      </c>
      <c r="J44" s="20" t="inlineStr">
        <is>
          <t>Q3 Earnings Announcement</t>
        </is>
      </c>
      <c r="K44" s="20" t="inlineStr">
        <is>
          <t>Aerospace/automotive EMS orders &amp; OSAT chip testing facility</t>
        </is>
      </c>
    </row>
    <row r="45" ht="21" customHeight="1">
      <c r="A45" s="13" t="n">
        <v>41</v>
      </c>
      <c r="B45" s="13" t="inlineStr">
        <is>
          <t>BEML</t>
        </is>
      </c>
      <c r="C45" s="18" t="inlineStr">
        <is>
          <t>BEML Ltd</t>
        </is>
      </c>
      <c r="D45" s="13" t="inlineStr">
        <is>
          <t>BEML</t>
        </is>
      </c>
      <c r="E45" s="18" t="inlineStr">
        <is>
          <t>Defence, Mining &amp; Rail</t>
        </is>
      </c>
      <c r="F45" s="13" t="inlineStr">
        <is>
          <t>Small Cap</t>
        </is>
      </c>
      <c r="G45" s="13" t="inlineStr">
        <is>
          <t>Watchlist</t>
        </is>
      </c>
      <c r="H45" s="13" t="inlineStr">
        <is>
          <t>Watchlist</t>
        </is>
      </c>
      <c r="I45" s="13" t="inlineStr"/>
      <c r="J45" s="18" t="inlineStr">
        <is>
          <t>Rail Coaches &amp; Mining Dumpers</t>
        </is>
      </c>
      <c r="K45" s="18" t="inlineStr">
        <is>
          <t>Vande Bharat sleeper trainset production &amp; defence vehicles</t>
        </is>
      </c>
    </row>
    <row r="46" ht="21" customHeight="1">
      <c r="A46" s="10" t="n">
        <v>42</v>
      </c>
      <c r="B46" s="10" t="inlineStr">
        <is>
          <t>PVR Inox</t>
        </is>
      </c>
      <c r="C46" s="20" t="inlineStr">
        <is>
          <t>PVR INOX Ltd</t>
        </is>
      </c>
      <c r="D46" s="10" t="inlineStr">
        <is>
          <t>PVRINOX</t>
        </is>
      </c>
      <c r="E46" s="20" t="inlineStr">
        <is>
          <t>Media &amp; Entertainment</t>
        </is>
      </c>
      <c r="F46" s="10" t="inlineStr">
        <is>
          <t>Mid Cap</t>
        </is>
      </c>
      <c r="G46" s="10" t="inlineStr">
        <is>
          <t>Watchlist</t>
        </is>
      </c>
      <c r="H46" s="10" t="inlineStr">
        <is>
          <t>Watchlist</t>
        </is>
      </c>
      <c r="I46" s="10" t="inlineStr"/>
      <c r="J46" s="20" t="inlineStr">
        <is>
          <t>Box Office &amp; Occupancy Play</t>
        </is>
      </c>
      <c r="K46" s="20" t="inlineStr">
        <is>
          <t>Q3 blockbuster occupancy rates, ATP (Ticket price) &amp; SPH</t>
        </is>
      </c>
    </row>
    <row r="47" ht="21" customHeight="1">
      <c r="A47" s="13" t="n">
        <v>43</v>
      </c>
      <c r="B47" s="13" t="inlineStr">
        <is>
          <t>Inventurus</t>
        </is>
      </c>
      <c r="C47" s="18" t="inlineStr">
        <is>
          <t>Inventurus Knowledge Solutions Ltd</t>
        </is>
      </c>
      <c r="D47" s="13" t="inlineStr">
        <is>
          <t>IKS (Pre-IPO)</t>
        </is>
      </c>
      <c r="E47" s="18" t="inlineStr">
        <is>
          <t>Healthcare &amp; IT Services</t>
        </is>
      </c>
      <c r="F47" s="13" t="inlineStr">
        <is>
          <t>IPO / Unlisted</t>
        </is>
      </c>
      <c r="G47" s="13" t="inlineStr">
        <is>
          <t>Watchlist</t>
        </is>
      </c>
      <c r="H47" s="13" t="inlineStr">
        <is>
          <t>IPO Watch</t>
        </is>
      </c>
      <c r="I47" s="13" t="inlineStr"/>
      <c r="J47" s="18" t="inlineStr">
        <is>
          <t>Upcoming Healthcare IT IPO</t>
        </is>
      </c>
      <c r="K47" s="18" t="inlineStr">
        <is>
          <t>US healthcare revenue cycle management (RCM) scalability</t>
        </is>
      </c>
    </row>
    <row r="48" ht="21" customHeight="1">
      <c r="A48" s="10" t="n">
        <v>44</v>
      </c>
      <c r="B48" s="10" t="inlineStr">
        <is>
          <t>Concord Biotech</t>
        </is>
      </c>
      <c r="C48" s="20" t="inlineStr">
        <is>
          <t>Concord Biotech Ltd</t>
        </is>
      </c>
      <c r="D48" s="10" t="inlineStr">
        <is>
          <t>CONCORDBIO</t>
        </is>
      </c>
      <c r="E48" s="20" t="inlineStr">
        <is>
          <t>Pharmaceuticals &amp; Biotech</t>
        </is>
      </c>
      <c r="F48" s="10" t="inlineStr">
        <is>
          <t>Mid Cap</t>
        </is>
      </c>
      <c r="G48" s="10" t="inlineStr">
        <is>
          <t>Watchlist</t>
        </is>
      </c>
      <c r="H48" s="10" t="inlineStr">
        <is>
          <t>Watchlist</t>
        </is>
      </c>
      <c r="I48" s="10" t="inlineStr"/>
      <c r="J48" s="20" t="inlineStr">
        <is>
          <t>Fermentation Biopharma Play</t>
        </is>
      </c>
      <c r="K48" s="20" t="inlineStr">
        <is>
          <t>Immunosuppressant API exports &amp; injectables pipeline</t>
        </is>
      </c>
    </row>
    <row r="49" ht="21" customHeight="1">
      <c r="A49" s="13" t="n">
        <v>45</v>
      </c>
      <c r="B49" s="13" t="inlineStr">
        <is>
          <t>Oriana Power</t>
        </is>
      </c>
      <c r="C49" s="18" t="inlineStr">
        <is>
          <t>Oriana Power Ltd</t>
        </is>
      </c>
      <c r="D49" s="13" t="inlineStr">
        <is>
          <t>ORIANA</t>
        </is>
      </c>
      <c r="E49" s="18" t="inlineStr">
        <is>
          <t>Renewable Energy / Solar EPC</t>
        </is>
      </c>
      <c r="F49" s="13" t="inlineStr">
        <is>
          <t>Small Cap</t>
        </is>
      </c>
      <c r="G49" s="13" t="inlineStr">
        <is>
          <t>Watchlist</t>
        </is>
      </c>
      <c r="H49" s="13" t="inlineStr">
        <is>
          <t>Watchlist</t>
        </is>
      </c>
      <c r="I49" s="13" t="inlineStr"/>
      <c r="J49" s="18" t="inlineStr">
        <is>
          <t>C&amp;I Solar &amp; Green Hydrogen</t>
        </is>
      </c>
      <c r="K49" s="18" t="inlineStr">
        <is>
          <t>Commercial &amp; industrial rooftop/ground-mount solar EPC orders</t>
        </is>
      </c>
    </row>
    <row r="50" ht="21" customHeight="1">
      <c r="A50" s="10" t="n">
        <v>46</v>
      </c>
      <c r="B50" s="10" t="inlineStr">
        <is>
          <t>Belrise Ind</t>
        </is>
      </c>
      <c r="C50" s="20" t="inlineStr">
        <is>
          <t>Belrise Industries Ltd</t>
        </is>
      </c>
      <c r="D50" s="10" t="inlineStr">
        <is>
          <t>BELRISE (Pre-IPO)</t>
        </is>
      </c>
      <c r="E50" s="20" t="inlineStr">
        <is>
          <t>Automotive Components</t>
        </is>
      </c>
      <c r="F50" s="10" t="inlineStr">
        <is>
          <t>IPO / Unlisted</t>
        </is>
      </c>
      <c r="G50" s="19" t="inlineStr">
        <is>
          <t>Scheduled Date</t>
        </is>
      </c>
      <c r="H50" s="10" t="inlineStr">
        <is>
          <t>31-Jan</t>
        </is>
      </c>
      <c r="I50" s="10" t="inlineStr">
        <is>
          <t>2026-01-31</t>
        </is>
      </c>
      <c r="J50" s="20" t="inlineStr">
        <is>
          <t>Pre-IPO Update / Filing</t>
        </is>
      </c>
      <c r="K50" s="20" t="inlineStr">
        <is>
          <t>Two-wheeler chassis &amp; automotive precision component supply</t>
        </is>
      </c>
    </row>
    <row r="51" ht="21" customHeight="1">
      <c r="A51" s="13" t="n">
        <v>47</v>
      </c>
      <c r="B51" s="13" t="inlineStr">
        <is>
          <t>Brigade</t>
        </is>
      </c>
      <c r="C51" s="18" t="inlineStr">
        <is>
          <t>Brigade Enterprises Ltd</t>
        </is>
      </c>
      <c r="D51" s="13" t="inlineStr">
        <is>
          <t>BRIGADE</t>
        </is>
      </c>
      <c r="E51" s="18" t="inlineStr">
        <is>
          <t>Real Estate Development</t>
        </is>
      </c>
      <c r="F51" s="13" t="inlineStr">
        <is>
          <t>Mid Cap</t>
        </is>
      </c>
      <c r="G51" s="19" t="inlineStr">
        <is>
          <t>Scheduled Date</t>
        </is>
      </c>
      <c r="H51" s="13" t="inlineStr">
        <is>
          <t>30-Jan</t>
        </is>
      </c>
      <c r="I51" s="13" t="inlineStr">
        <is>
          <t>2026-01-30</t>
        </is>
      </c>
      <c r="J51" s="18" t="inlineStr">
        <is>
          <t>Q3 Earnings Announcement</t>
        </is>
      </c>
      <c r="K51" s="18" t="inlineStr">
        <is>
          <t>Bengaluru/Chennai residential bookings &amp; hospitality revPAR</t>
        </is>
      </c>
    </row>
    <row r="52" ht="21" customHeight="1">
      <c r="A52" s="10" t="n">
        <v>48</v>
      </c>
      <c r="B52" s="10" t="inlineStr">
        <is>
          <t>Kalyan Jewell</t>
        </is>
      </c>
      <c r="C52" s="20" t="inlineStr">
        <is>
          <t>Kalyan Jewellers India Ltd</t>
        </is>
      </c>
      <c r="D52" s="10" t="inlineStr">
        <is>
          <t>KALYANKJIL</t>
        </is>
      </c>
      <c r="E52" s="20" t="inlineStr">
        <is>
          <t>Consumer Retail &amp; Jewellery</t>
        </is>
      </c>
      <c r="F52" s="10" t="inlineStr">
        <is>
          <t>Large Cap</t>
        </is>
      </c>
      <c r="G52" s="19" t="inlineStr">
        <is>
          <t>Scheduled Date</t>
        </is>
      </c>
      <c r="H52" s="10" t="inlineStr">
        <is>
          <t>26-Feb</t>
        </is>
      </c>
      <c r="I52" s="10" t="inlineStr">
        <is>
          <t>2026-02-26</t>
        </is>
      </c>
      <c r="J52" s="20" t="inlineStr">
        <is>
          <t>Q3 Earnings Announcement</t>
        </is>
      </c>
      <c r="K52" s="20" t="inlineStr">
        <is>
          <t>Wedding season jewellery demand &amp; FOCO showroom expansion</t>
        </is>
      </c>
    </row>
    <row r="53" ht="21" customHeight="1">
      <c r="A53" s="13" t="n">
        <v>49</v>
      </c>
      <c r="B53" s="13" t="inlineStr">
        <is>
          <t>M&amp;M</t>
        </is>
      </c>
      <c r="C53" s="18" t="inlineStr">
        <is>
          <t>Mahindra &amp; Mahindra Ltd</t>
        </is>
      </c>
      <c r="D53" s="13" t="inlineStr">
        <is>
          <t>M&amp;M</t>
        </is>
      </c>
      <c r="E53" s="18" t="inlineStr">
        <is>
          <t>Automobiles &amp; Farm Equipment</t>
        </is>
      </c>
      <c r="F53" s="13" t="inlineStr">
        <is>
          <t>Large Cap</t>
        </is>
      </c>
      <c r="G53" s="19" t="inlineStr">
        <is>
          <t>Scheduled Date</t>
        </is>
      </c>
      <c r="H53" s="13" t="inlineStr">
        <is>
          <t>11-Feb</t>
        </is>
      </c>
      <c r="I53" s="13" t="inlineStr">
        <is>
          <t>2026-02-11</t>
        </is>
      </c>
      <c r="J53" s="18" t="inlineStr">
        <is>
          <t>Q3 Earnings Announcement</t>
        </is>
      </c>
      <c r="K53" s="18" t="inlineStr">
        <is>
          <t>SUV order backlog delivery pace &amp; tractor demand revival</t>
        </is>
      </c>
    </row>
    <row r="54" ht="21" customHeight="1">
      <c r="A54" s="10" t="n">
        <v>50</v>
      </c>
      <c r="B54" s="10" t="inlineStr">
        <is>
          <t>Infosys</t>
        </is>
      </c>
      <c r="C54" s="20" t="inlineStr">
        <is>
          <t>Infosys Ltd</t>
        </is>
      </c>
      <c r="D54" s="10" t="inlineStr">
        <is>
          <t>INFY</t>
        </is>
      </c>
      <c r="E54" s="20" t="inlineStr">
        <is>
          <t>IT Services &amp; Consulting</t>
        </is>
      </c>
      <c r="F54" s="10" t="inlineStr">
        <is>
          <t>Large Cap</t>
        </is>
      </c>
      <c r="G54" s="22" t="inlineStr">
        <is>
          <t>Bearish</t>
        </is>
      </c>
      <c r="H54" s="10" t="inlineStr">
        <is>
          <t>Watchlist</t>
        </is>
      </c>
      <c r="I54" s="10" t="inlineStr"/>
      <c r="J54" s="20" t="inlineStr">
        <is>
          <t>Bearish Signal (Down Arrow)</t>
        </is>
      </c>
      <c r="K54" s="20" t="inlineStr">
        <is>
          <t>US/EU BFSI tech spending outlook &amp; large deal TCV ramp-up</t>
        </is>
      </c>
    </row>
    <row r="55" ht="21" customHeight="1">
      <c r="A55" s="13" t="n">
        <v>51</v>
      </c>
      <c r="B55" s="13" t="inlineStr">
        <is>
          <t>Anant</t>
        </is>
      </c>
      <c r="C55" s="18" t="inlineStr">
        <is>
          <t>Anant Raj Ltd</t>
        </is>
      </c>
      <c r="D55" s="13" t="inlineStr">
        <is>
          <t>ANANTRAJ</t>
        </is>
      </c>
      <c r="E55" s="18" t="inlineStr">
        <is>
          <t>Real Estate &amp; Data Centers</t>
        </is>
      </c>
      <c r="F55" s="13" t="inlineStr">
        <is>
          <t>Mid Cap</t>
        </is>
      </c>
      <c r="G55" s="21" t="inlineStr">
        <is>
          <t>Bullish</t>
        </is>
      </c>
      <c r="H55" s="13" t="inlineStr">
        <is>
          <t>Watchlist</t>
        </is>
      </c>
      <c r="I55" s="13" t="inlineStr"/>
      <c r="J55" s="18" t="inlineStr">
        <is>
          <t>Bullish Setup (Up Arrow)</t>
        </is>
      </c>
      <c r="K55" s="18" t="inlineStr">
        <is>
          <t>Data center leasing capacity &amp; NCR luxury housing pre-sales</t>
        </is>
      </c>
    </row>
    <row r="56" ht="21" customHeight="1">
      <c r="A56" s="10" t="n">
        <v>52</v>
      </c>
      <c r="B56" s="10" t="inlineStr">
        <is>
          <t>Waaree Energy</t>
        </is>
      </c>
      <c r="C56" s="20" t="inlineStr">
        <is>
          <t>Waaree Energies Ltd</t>
        </is>
      </c>
      <c r="D56" s="10" t="inlineStr">
        <is>
          <t>WAAREE</t>
        </is>
      </c>
      <c r="E56" s="20" t="inlineStr">
        <is>
          <t>Renewable Energy / Solar</t>
        </is>
      </c>
      <c r="F56" s="10" t="inlineStr">
        <is>
          <t>Large Cap</t>
        </is>
      </c>
      <c r="G56" s="21" t="inlineStr">
        <is>
          <t>Strong Bullish</t>
        </is>
      </c>
      <c r="H56" s="10" t="inlineStr">
        <is>
          <t>Watchlist</t>
        </is>
      </c>
      <c r="I56" s="10" t="inlineStr"/>
      <c r="J56" s="20" t="inlineStr">
        <is>
          <t>Double Bullish (Up Arrows)</t>
        </is>
      </c>
      <c r="K56" s="20" t="inlineStr">
        <is>
          <t>Solar PV module exports to US &amp; domestic capacity expansion</t>
        </is>
      </c>
    </row>
    <row r="57" ht="21" customHeight="1">
      <c r="A57" s="13" t="n">
        <v>53</v>
      </c>
      <c r="B57" s="13" t="inlineStr">
        <is>
          <t>IREDA</t>
        </is>
      </c>
      <c r="C57" s="18" t="inlineStr">
        <is>
          <t>Indian Renewable Energy Dev Agency Ltd</t>
        </is>
      </c>
      <c r="D57" s="13" t="inlineStr">
        <is>
          <t>IREDA</t>
        </is>
      </c>
      <c r="E57" s="18" t="inlineStr">
        <is>
          <t>Renewable Energy / Green NBFC</t>
        </is>
      </c>
      <c r="F57" s="13" t="inlineStr">
        <is>
          <t>Large Cap</t>
        </is>
      </c>
      <c r="G57" s="21" t="inlineStr">
        <is>
          <t>Bullish</t>
        </is>
      </c>
      <c r="H57" s="13" t="inlineStr">
        <is>
          <t>Watchlist</t>
        </is>
      </c>
      <c r="I57" s="13" t="inlineStr"/>
      <c r="J57" s="18" t="inlineStr">
        <is>
          <t>Bullish Setup (Up Arrow)</t>
        </is>
      </c>
      <c r="K57" s="18" t="inlineStr">
        <is>
          <t>Green energy loan sanctions, loan book CAGR &amp; zero NPA trend</t>
        </is>
      </c>
    </row>
    <row r="58" ht="21" customHeight="1">
      <c r="A58" s="10" t="n">
        <v>54</v>
      </c>
      <c r="B58" s="10" t="inlineStr">
        <is>
          <t>SW Solar</t>
        </is>
      </c>
      <c r="C58" s="20" t="inlineStr">
        <is>
          <t>Sterling and Wilson Renewable Energy Ltd</t>
        </is>
      </c>
      <c r="D58" s="10" t="inlineStr">
        <is>
          <t>SWSOLAR</t>
        </is>
      </c>
      <c r="E58" s="20" t="inlineStr">
        <is>
          <t>Renewable Energy / Solar EPC</t>
        </is>
      </c>
      <c r="F58" s="10" t="inlineStr">
        <is>
          <t>Small Cap</t>
        </is>
      </c>
      <c r="G58" s="22" t="inlineStr">
        <is>
          <t>Bearish</t>
        </is>
      </c>
      <c r="H58" s="10" t="inlineStr">
        <is>
          <t>Watchlist</t>
        </is>
      </c>
      <c r="I58" s="10" t="inlineStr"/>
      <c r="J58" s="20" t="inlineStr">
        <is>
          <t>Bearish Correction (Down Arrow)</t>
        </is>
      </c>
      <c r="K58" s="20" t="inlineStr">
        <is>
          <t>International solar EPC execution &amp; unbilled revenue recovery</t>
        </is>
      </c>
    </row>
    <row r="59" ht="21" customHeight="1">
      <c r="A59" s="13" t="n">
        <v>55</v>
      </c>
      <c r="B59" s="13" t="inlineStr">
        <is>
          <t>Gravita</t>
        </is>
      </c>
      <c r="C59" s="18" t="inlineStr">
        <is>
          <t>Gravita India Ltd</t>
        </is>
      </c>
      <c r="D59" s="13" t="inlineStr">
        <is>
          <t>GRAVITA</t>
        </is>
      </c>
      <c r="E59" s="18" t="inlineStr">
        <is>
          <t>Metals Recycling &amp; Circular Economy</t>
        </is>
      </c>
      <c r="F59" s="13" t="inlineStr">
        <is>
          <t>Small Cap</t>
        </is>
      </c>
      <c r="G59" s="21" t="inlineStr">
        <is>
          <t>Bullish</t>
        </is>
      </c>
      <c r="H59" s="13" t="inlineStr">
        <is>
          <t>Watchlist</t>
        </is>
      </c>
      <c r="I59" s="13" t="inlineStr"/>
      <c r="J59" s="18" t="inlineStr">
        <is>
          <t>Bullish Setup (Up Arrow)</t>
        </is>
      </c>
      <c r="K59" s="18" t="inlineStr">
        <is>
          <t>Lead, aluminum &amp; plastic recycling volume growth &amp; scrap rules</t>
        </is>
      </c>
    </row>
    <row r="60" ht="21" customHeight="1">
      <c r="A60" s="10" t="n">
        <v>56</v>
      </c>
      <c r="B60" s="10" t="inlineStr">
        <is>
          <t>IRFC</t>
        </is>
      </c>
      <c r="C60" s="20" t="inlineStr">
        <is>
          <t>Indian Railway Finance Corporation Ltd</t>
        </is>
      </c>
      <c r="D60" s="10" t="inlineStr">
        <is>
          <t>IRFC</t>
        </is>
      </c>
      <c r="E60" s="20" t="inlineStr">
        <is>
          <t>Railways Finance / NBFC</t>
        </is>
      </c>
      <c r="F60" s="10" t="inlineStr">
        <is>
          <t>Large Cap</t>
        </is>
      </c>
      <c r="G60" s="21" t="inlineStr">
        <is>
          <t>Bullish</t>
        </is>
      </c>
      <c r="H60" s="10" t="inlineStr">
        <is>
          <t>Watchlist</t>
        </is>
      </c>
      <c r="I60" s="10" t="inlineStr"/>
      <c r="J60" s="20" t="inlineStr">
        <is>
          <t>Bullish Setup (Up Arrow)</t>
        </is>
      </c>
      <c r="K60" s="20" t="inlineStr">
        <is>
          <t>MoR rolling stock leasing lease margin &amp; sovereign safety</t>
        </is>
      </c>
    </row>
    <row r="61" ht="21" customHeight="1">
      <c r="A61" s="13" t="n">
        <v>57</v>
      </c>
      <c r="B61" s="13" t="inlineStr">
        <is>
          <t>Jindal Saw</t>
        </is>
      </c>
      <c r="C61" s="18" t="inlineStr">
        <is>
          <t>Jindal SAW Ltd</t>
        </is>
      </c>
      <c r="D61" s="13" t="inlineStr">
        <is>
          <t>JINDALSAW</t>
        </is>
      </c>
      <c r="E61" s="18" t="inlineStr">
        <is>
          <t>Iron &amp; Steel Products / Pipes</t>
        </is>
      </c>
      <c r="F61" s="13" t="inlineStr">
        <is>
          <t>Mid Cap</t>
        </is>
      </c>
      <c r="G61" s="22" t="inlineStr">
        <is>
          <t>Bearish</t>
        </is>
      </c>
      <c r="H61" s="13" t="inlineStr">
        <is>
          <t>Watchlist</t>
        </is>
      </c>
      <c r="I61" s="13" t="inlineStr"/>
      <c r="J61" s="18" t="inlineStr">
        <is>
          <t>Bearish Pullback (Down Arrow)</t>
        </is>
      </c>
      <c r="K61" s="18" t="inlineStr">
        <is>
          <t>Ductile iron &amp; seamless pipe demand from Jal Jeevan Mission</t>
        </is>
      </c>
    </row>
    <row r="62" ht="21" customHeight="1">
      <c r="A62" s="10" t="n">
        <v>58</v>
      </c>
      <c r="B62" s="10" t="inlineStr">
        <is>
          <t>Jio Finance</t>
        </is>
      </c>
      <c r="C62" s="20" t="inlineStr">
        <is>
          <t>Jio Financial Services Ltd</t>
        </is>
      </c>
      <c r="D62" s="10" t="inlineStr">
        <is>
          <t>JIOFIN</t>
        </is>
      </c>
      <c r="E62" s="20" t="inlineStr">
        <is>
          <t>Financial Services &amp; NBFC</t>
        </is>
      </c>
      <c r="F62" s="10" t="inlineStr">
        <is>
          <t>Large Cap</t>
        </is>
      </c>
      <c r="G62" s="23" t="inlineStr">
        <is>
          <t>Neutral</t>
        </is>
      </c>
      <c r="H62" s="10" t="inlineStr">
        <is>
          <t>Watchlist</t>
        </is>
      </c>
      <c r="I62" s="10" t="inlineStr"/>
      <c r="J62" s="20" t="inlineStr">
        <is>
          <t>Consolidation / Rangebound</t>
        </is>
      </c>
      <c r="K62" s="20" t="inlineStr">
        <is>
          <t>Digital lending rollout, BlackRock AMC JV &amp; broking launch</t>
        </is>
      </c>
    </row>
    <row r="63" ht="21" customHeight="1">
      <c r="A63" s="13" t="n">
        <v>59</v>
      </c>
      <c r="B63" s="13" t="inlineStr">
        <is>
          <t>KP Energy</t>
        </is>
      </c>
      <c r="C63" s="18" t="inlineStr">
        <is>
          <t>KP Energy Ltd</t>
        </is>
      </c>
      <c r="D63" s="13" t="inlineStr">
        <is>
          <t>KPENERGY</t>
        </is>
      </c>
      <c r="E63" s="18" t="inlineStr">
        <is>
          <t>Renewable Energy / Wind</t>
        </is>
      </c>
      <c r="F63" s="13" t="inlineStr">
        <is>
          <t>Small Cap</t>
        </is>
      </c>
      <c r="G63" s="21" t="inlineStr">
        <is>
          <t>Strong Bullish</t>
        </is>
      </c>
      <c r="H63" s="13" t="inlineStr">
        <is>
          <t>Watchlist</t>
        </is>
      </c>
      <c r="I63" s="13" t="inlineStr"/>
      <c r="J63" s="18" t="inlineStr">
        <is>
          <t>Double Bullish (Up Arrows)</t>
        </is>
      </c>
      <c r="K63" s="18" t="inlineStr">
        <is>
          <t>Wind energy balance of plant (BoP) execution in Gujarat</t>
        </is>
      </c>
    </row>
    <row r="64" ht="21" customHeight="1">
      <c r="A64" s="10" t="n">
        <v>60</v>
      </c>
      <c r="B64" s="10" t="inlineStr">
        <is>
          <t>Vikram Solar</t>
        </is>
      </c>
      <c r="C64" s="20" t="inlineStr">
        <is>
          <t>Vikram Solar Ltd</t>
        </is>
      </c>
      <c r="D64" s="10" t="inlineStr">
        <is>
          <t>VIKRAM (Pre-IPO)</t>
        </is>
      </c>
      <c r="E64" s="20" t="inlineStr">
        <is>
          <t>Renewable Energy / Solar</t>
        </is>
      </c>
      <c r="F64" s="10" t="inlineStr">
        <is>
          <t>IPO / Unlisted</t>
        </is>
      </c>
      <c r="G64" s="21" t="inlineStr">
        <is>
          <t>Strong Bullish</t>
        </is>
      </c>
      <c r="H64" s="10" t="inlineStr">
        <is>
          <t>IPO Watch</t>
        </is>
      </c>
      <c r="I64" s="10" t="inlineStr"/>
      <c r="J64" s="20" t="inlineStr">
        <is>
          <t>Strong IPO Momentum (Double Up)</t>
        </is>
      </c>
      <c r="K64" s="20" t="inlineStr">
        <is>
          <t>Upcoming solar cell/module manufacturing IPO</t>
        </is>
      </c>
    </row>
    <row r="65" ht="21" customHeight="1">
      <c r="A65" s="13" t="n">
        <v>61</v>
      </c>
      <c r="B65" s="13" t="inlineStr">
        <is>
          <t>Oberoi Realty</t>
        </is>
      </c>
      <c r="C65" s="18" t="inlineStr">
        <is>
          <t>Oberoi Realty Ltd</t>
        </is>
      </c>
      <c r="D65" s="13" t="inlineStr">
        <is>
          <t>OBEROIRLTY</t>
        </is>
      </c>
      <c r="E65" s="18" t="inlineStr">
        <is>
          <t>Real Estate Development</t>
        </is>
      </c>
      <c r="F65" s="13" t="inlineStr">
        <is>
          <t>Large Cap</t>
        </is>
      </c>
      <c r="G65" s="23" t="inlineStr">
        <is>
          <t>Neutral</t>
        </is>
      </c>
      <c r="H65" s="13" t="inlineStr">
        <is>
          <t>Watchlist</t>
        </is>
      </c>
      <c r="I65" s="13" t="inlineStr"/>
      <c r="J65" s="18" t="inlineStr">
        <is>
          <t>Consolidation / Pullback</t>
        </is>
      </c>
      <c r="K65" s="18" t="inlineStr">
        <is>
          <t>Thane/Borivali luxury residential launches &amp; leasing annuity</t>
        </is>
      </c>
    </row>
    <row r="66" ht="21" customHeight="1">
      <c r="A66" s="10" t="n">
        <v>62</v>
      </c>
      <c r="B66" s="10" t="inlineStr">
        <is>
          <t>Netweb</t>
        </is>
      </c>
      <c r="C66" s="20" t="inlineStr">
        <is>
          <t>Netweb Technologies India Ltd</t>
        </is>
      </c>
      <c r="D66" s="10" t="inlineStr">
        <is>
          <t>NETWEB</t>
        </is>
      </c>
      <c r="E66" s="20" t="inlineStr">
        <is>
          <t>IT Hardware &amp; AI Systems</t>
        </is>
      </c>
      <c r="F66" s="10" t="inlineStr">
        <is>
          <t>Mid Cap</t>
        </is>
      </c>
      <c r="G66" s="21" t="inlineStr">
        <is>
          <t>Bullish</t>
        </is>
      </c>
      <c r="H66" s="10" t="inlineStr">
        <is>
          <t>Watchlist</t>
        </is>
      </c>
      <c r="I66" s="10" t="inlineStr"/>
      <c r="J66" s="20" t="inlineStr">
        <is>
          <t>Bullish Setup (Up Arrow)</t>
        </is>
      </c>
      <c r="K66" s="20" t="inlineStr">
        <is>
          <t>High-performance computing (HPC) &amp; NVIDIA AI server orders</t>
        </is>
      </c>
    </row>
    <row r="67" ht="21" customHeight="1">
      <c r="A67" s="13" t="n">
        <v>63</v>
      </c>
      <c r="B67" s="13" t="inlineStr">
        <is>
          <t>Tata Inv</t>
        </is>
      </c>
      <c r="C67" s="18" t="inlineStr">
        <is>
          <t>Tata Investment Corporation Ltd</t>
        </is>
      </c>
      <c r="D67" s="13" t="inlineStr">
        <is>
          <t>TATAINVEST</t>
        </is>
      </c>
      <c r="E67" s="18" t="inlineStr">
        <is>
          <t>Financial Services &amp; Holdings</t>
        </is>
      </c>
      <c r="F67" s="13" t="inlineStr">
        <is>
          <t>Mid Cap</t>
        </is>
      </c>
      <c r="G67" s="19" t="inlineStr">
        <is>
          <t>Scheduled Date</t>
        </is>
      </c>
      <c r="H67" s="13" t="inlineStr">
        <is>
          <t>30-Jan</t>
        </is>
      </c>
      <c r="I67" s="13" t="inlineStr">
        <is>
          <t>2026-01-30</t>
        </is>
      </c>
      <c r="J67" s="18" t="inlineStr">
        <is>
          <t>Q3 Earnings Announcement</t>
        </is>
      </c>
      <c r="K67" s="18" t="inlineStr">
        <is>
          <t>Holding company dividend income &amp; Tata Group market cap surge</t>
        </is>
      </c>
    </row>
    <row r="68" ht="21" customHeight="1">
      <c r="A68" s="10" t="n">
        <v>64</v>
      </c>
      <c r="B68" s="10" t="inlineStr">
        <is>
          <t>HBL Power</t>
        </is>
      </c>
      <c r="C68" s="20" t="inlineStr">
        <is>
          <t>HBL Power Systems Ltd</t>
        </is>
      </c>
      <c r="D68" s="10" t="inlineStr">
        <is>
          <t>HBLPOWER</t>
        </is>
      </c>
      <c r="E68" s="20" t="inlineStr">
        <is>
          <t>Defence, Railways &amp; Batteries</t>
        </is>
      </c>
      <c r="F68" s="10" t="inlineStr">
        <is>
          <t>Mid Cap</t>
        </is>
      </c>
      <c r="G68" s="19" t="inlineStr">
        <is>
          <t>Scheduled Date</t>
        </is>
      </c>
      <c r="H68" s="10" t="inlineStr">
        <is>
          <t>07-Feb</t>
        </is>
      </c>
      <c r="I68" s="10" t="inlineStr">
        <is>
          <t>2026-02-07</t>
        </is>
      </c>
      <c r="J68" s="20" t="inlineStr">
        <is>
          <t>Q3 Earnings Announcement</t>
        </is>
      </c>
      <c r="K68" s="20" t="inlineStr">
        <is>
          <t>Kavach automatic train protection orders &amp; submarine battery</t>
        </is>
      </c>
    </row>
    <row r="69" ht="21" customHeight="1">
      <c r="A69" s="13" t="n">
        <v>65</v>
      </c>
      <c r="B69" s="13" t="inlineStr">
        <is>
          <t>Data Pattern</t>
        </is>
      </c>
      <c r="C69" s="18" t="inlineStr">
        <is>
          <t>Data Patterns (India) Ltd</t>
        </is>
      </c>
      <c r="D69" s="13" t="inlineStr">
        <is>
          <t>DATAPATTNS</t>
        </is>
      </c>
      <c r="E69" s="18" t="inlineStr">
        <is>
          <t>Defence Electronics</t>
        </is>
      </c>
      <c r="F69" s="13" t="inlineStr">
        <is>
          <t>Mid Cap</t>
        </is>
      </c>
      <c r="G69" s="13" t="inlineStr">
        <is>
          <t>Watchlist</t>
        </is>
      </c>
      <c r="H69" s="13" t="inlineStr">
        <is>
          <t>Watchlist</t>
        </is>
      </c>
      <c r="I69" s="13" t="inlineStr"/>
      <c r="J69" s="18" t="inlineStr">
        <is>
          <t>Defence Electronics Play</t>
        </is>
      </c>
      <c r="K69" s="18" t="inlineStr">
        <is>
          <t>Radars, electronic warfare systems &amp; missile avionics orders</t>
        </is>
      </c>
    </row>
    <row r="70" ht="21" customHeight="1">
      <c r="A70" s="10" t="n">
        <v>66</v>
      </c>
      <c r="B70" s="10" t="inlineStr">
        <is>
          <t>Sagility</t>
        </is>
      </c>
      <c r="C70" s="20" t="inlineStr">
        <is>
          <t>Sagility India Ltd</t>
        </is>
      </c>
      <c r="D70" s="10" t="inlineStr">
        <is>
          <t>SAGILITY</t>
        </is>
      </c>
      <c r="E70" s="20" t="inlineStr">
        <is>
          <t>Healthcare &amp; IT Services</t>
        </is>
      </c>
      <c r="F70" s="10" t="inlineStr">
        <is>
          <t>Mid Cap</t>
        </is>
      </c>
      <c r="G70" s="19" t="inlineStr">
        <is>
          <t>Scheduled Date</t>
        </is>
      </c>
      <c r="H70" s="10" t="inlineStr">
        <is>
          <t>28-Jan</t>
        </is>
      </c>
      <c r="I70" s="10" t="inlineStr">
        <is>
          <t>2026-01-28</t>
        </is>
      </c>
      <c r="J70" s="20" t="inlineStr">
        <is>
          <t>Q3 Earnings Announcement</t>
        </is>
      </c>
      <c r="K70" s="20" t="inlineStr">
        <is>
          <t>US healthcare payer/provider business process management</t>
        </is>
      </c>
    </row>
    <row r="71" ht="21" customHeight="1">
      <c r="A71" s="13" t="n">
        <v>67</v>
      </c>
      <c r="B71" s="13" t="inlineStr">
        <is>
          <t>Premier Energies</t>
        </is>
      </c>
      <c r="C71" s="18" t="inlineStr">
        <is>
          <t>Premier Energies Ltd</t>
        </is>
      </c>
      <c r="D71" s="13" t="inlineStr">
        <is>
          <t>PREMIERENE</t>
        </is>
      </c>
      <c r="E71" s="18" t="inlineStr">
        <is>
          <t>Renewable Energy / Solar</t>
        </is>
      </c>
      <c r="F71" s="13" t="inlineStr">
        <is>
          <t>Mid Cap</t>
        </is>
      </c>
      <c r="G71" s="21" t="inlineStr">
        <is>
          <t>Strong Bullish</t>
        </is>
      </c>
      <c r="H71" s="13" t="inlineStr">
        <is>
          <t>Watchlist</t>
        </is>
      </c>
      <c r="I71" s="13" t="inlineStr"/>
      <c r="J71" s="18" t="inlineStr">
        <is>
          <t>Double Bullish (Up Arrows)</t>
        </is>
      </c>
      <c r="K71" s="18" t="inlineStr">
        <is>
          <t>Solar cell &amp; module manufacturing order book delivery</t>
        </is>
      </c>
    </row>
    <row r="72" ht="21" customHeight="1">
      <c r="A72" s="10" t="n">
        <v>68</v>
      </c>
      <c r="B72" s="10" t="inlineStr">
        <is>
          <t>EMVEE</t>
        </is>
      </c>
      <c r="C72" s="20" t="inlineStr">
        <is>
          <t>Emvee Photovoltaic Power Ltd</t>
        </is>
      </c>
      <c r="D72" s="10" t="inlineStr">
        <is>
          <t>EMVEE (Pre-IPO)</t>
        </is>
      </c>
      <c r="E72" s="20" t="inlineStr">
        <is>
          <t>Renewable Energy / Solar</t>
        </is>
      </c>
      <c r="F72" s="10" t="inlineStr">
        <is>
          <t>IPO / Unlisted</t>
        </is>
      </c>
      <c r="G72" s="21" t="inlineStr">
        <is>
          <t>Strong Bullish</t>
        </is>
      </c>
      <c r="H72" s="10" t="inlineStr">
        <is>
          <t>IPO Watch</t>
        </is>
      </c>
      <c r="I72" s="10" t="inlineStr"/>
      <c r="J72" s="20" t="inlineStr">
        <is>
          <t>Strong IPO Momentum (Double Up)</t>
        </is>
      </c>
      <c r="K72" s="20" t="inlineStr">
        <is>
          <t>Upcoming TOPCon solar cell/module manufacturing IPO</t>
        </is>
      </c>
    </row>
    <row r="73" ht="21" customHeight="1">
      <c r="A73" s="13" t="n">
        <v>69</v>
      </c>
      <c r="B73" s="13" t="inlineStr">
        <is>
          <t>Genus Power</t>
        </is>
      </c>
      <c r="C73" s="18" t="inlineStr">
        <is>
          <t>Genus Power Infrastructures Ltd</t>
        </is>
      </c>
      <c r="D73" s="13" t="inlineStr">
        <is>
          <t>GENUSPOWER</t>
        </is>
      </c>
      <c r="E73" s="18" t="inlineStr">
        <is>
          <t>Power Equipment &amp; Smart Meters</t>
        </is>
      </c>
      <c r="F73" s="13" t="inlineStr">
        <is>
          <t>Mid Cap</t>
        </is>
      </c>
      <c r="G73" s="13" t="inlineStr">
        <is>
          <t>Watchlist</t>
        </is>
      </c>
      <c r="H73" s="13" t="inlineStr">
        <is>
          <t>Watchlist</t>
        </is>
      </c>
      <c r="I73" s="13" t="inlineStr"/>
      <c r="J73" s="18" t="inlineStr">
        <is>
          <t>Smart Meter Installation Scale</t>
        </is>
      </c>
      <c r="K73" s="18" t="inlineStr">
        <is>
          <t>AMISP smart metering order pipeline execution across states</t>
        </is>
      </c>
    </row>
  </sheetData>
  <autoFilter ref="A4:K7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0" customWidth="1" min="3" max="3"/>
    <col width="44" customWidth="1" min="4" max="4"/>
    <col width="33" customWidth="1" min="5" max="5"/>
    <col width="17" customWidth="1" min="6" max="6"/>
    <col width="18" customWidth="1" min="7" max="7"/>
    <col width="50" customWidth="1" min="8" max="8"/>
  </cols>
  <sheetData>
    <row r="1" ht="28" customHeight="1">
      <c r="A1" s="1" t="inlineStr">
        <is>
          <t>Q3 CORPORATE EARNINGS RESULTS CALENDAR</t>
        </is>
      </c>
    </row>
    <row r="2" ht="18" customHeight="1">
      <c r="A2" s="2" t="inlineStr">
        <is>
          <t>Chronological breakdown of companies with scheduled Q3 board meetings &amp; result dates</t>
        </is>
      </c>
    </row>
    <row r="3" ht="10" customHeight="1"/>
    <row r="4" ht="26" customHeight="1">
      <c r="A4" s="8" t="inlineStr">
        <is>
          <t>Chronological Date</t>
        </is>
      </c>
      <c r="B4" s="8" t="inlineStr">
        <is>
          <t>Day / Status</t>
        </is>
      </c>
      <c r="C4" s="8" t="inlineStr">
        <is>
          <t>NSE Symbol</t>
        </is>
      </c>
      <c r="D4" s="7" t="inlineStr">
        <is>
          <t>Company Name</t>
        </is>
      </c>
      <c r="E4" s="7" t="inlineStr">
        <is>
          <t>Sector</t>
        </is>
      </c>
      <c r="F4" s="8" t="inlineStr">
        <is>
          <t>Market Cap</t>
        </is>
      </c>
      <c r="G4" s="8" t="inlineStr">
        <is>
          <t>Signal on Sheet</t>
        </is>
      </c>
      <c r="H4" s="7" t="inlineStr">
        <is>
          <t>Key Earnings Focus</t>
        </is>
      </c>
    </row>
    <row r="5" ht="21" customHeight="1">
      <c r="A5" s="13" t="inlineStr">
        <is>
          <t>Today</t>
        </is>
      </c>
      <c r="B5" s="13" t="inlineStr">
        <is>
          <t>Today</t>
        </is>
      </c>
      <c r="C5" s="13" t="inlineStr">
        <is>
          <t>MCX</t>
        </is>
      </c>
      <c r="D5" s="18" t="inlineStr">
        <is>
          <t>Multi Commodity Exchange of India Ltd</t>
        </is>
      </c>
      <c r="E5" s="18" t="inlineStr">
        <is>
          <t>Capital Markets &amp; Exchanges</t>
        </is>
      </c>
      <c r="F5" s="13" t="inlineStr">
        <is>
          <t>Mid Cap</t>
        </is>
      </c>
      <c r="G5" s="21" t="inlineStr">
        <is>
          <t>Strong Bullish</t>
        </is>
      </c>
      <c r="H5" s="18" t="inlineStr">
        <is>
          <t>Surging options trading volume &amp; tech migration benefits</t>
        </is>
      </c>
    </row>
    <row r="6" ht="21" customHeight="1">
      <c r="A6" s="10" t="inlineStr">
        <is>
          <t>27-Jan</t>
        </is>
      </c>
      <c r="B6" s="10" t="inlineStr">
        <is>
          <t>Confirmed Q3</t>
        </is>
      </c>
      <c r="C6" s="10" t="inlineStr">
        <is>
          <t>MOTILALOFS</t>
        </is>
      </c>
      <c r="D6" s="20" t="inlineStr">
        <is>
          <t>Motilal Oswal Financial Services Ltd</t>
        </is>
      </c>
      <c r="E6" s="20" t="inlineStr">
        <is>
          <t>Capital Markets &amp; Broking</t>
        </is>
      </c>
      <c r="F6" s="10" t="inlineStr">
        <is>
          <t>Mid Cap</t>
        </is>
      </c>
      <c r="G6" s="19" t="inlineStr">
        <is>
          <t>Scheduled Date</t>
        </is>
      </c>
      <c r="H6" s="20" t="inlineStr">
        <is>
          <t>Broking retail volume, AMC AUM growth &amp; treasury gains</t>
        </is>
      </c>
    </row>
    <row r="7" ht="21" customHeight="1">
      <c r="A7" s="13" t="inlineStr">
        <is>
          <t>28-Jan</t>
        </is>
      </c>
      <c r="B7" s="13" t="inlineStr">
        <is>
          <t>Confirmed Q3</t>
        </is>
      </c>
      <c r="C7" s="13" t="inlineStr">
        <is>
          <t>COCHINSHIP</t>
        </is>
      </c>
      <c r="D7" s="18" t="inlineStr">
        <is>
          <t>Cochin Shipyard Ltd</t>
        </is>
      </c>
      <c r="E7" s="18" t="inlineStr">
        <is>
          <t>Defence &amp; Shipbuilding</t>
        </is>
      </c>
      <c r="F7" s="13" t="inlineStr">
        <is>
          <t>Mid Cap</t>
        </is>
      </c>
      <c r="G7" s="19" t="inlineStr">
        <is>
          <t>Scheduled Date</t>
        </is>
      </c>
      <c r="H7" s="18" t="inlineStr">
        <is>
          <t>Naval defence orderbook execution &amp; margin trends</t>
        </is>
      </c>
    </row>
    <row r="8" ht="21" customHeight="1">
      <c r="A8" s="10" t="inlineStr">
        <is>
          <t>28-Jan</t>
        </is>
      </c>
      <c r="B8" s="10" t="inlineStr">
        <is>
          <t>Confirmed Q3</t>
        </is>
      </c>
      <c r="C8" s="10" t="inlineStr">
        <is>
          <t>GRSE</t>
        </is>
      </c>
      <c r="D8" s="20" t="inlineStr">
        <is>
          <t>Garden Reach Shipbuilders &amp; Engineers Ltd</t>
        </is>
      </c>
      <c r="E8" s="20" t="inlineStr">
        <is>
          <t>Defence &amp; Shipbuilding</t>
        </is>
      </c>
      <c r="F8" s="10" t="inlineStr">
        <is>
          <t>Small Cap</t>
        </is>
      </c>
      <c r="G8" s="19" t="inlineStr">
        <is>
          <t>Scheduled Date</t>
        </is>
      </c>
      <c r="H8" s="20" t="inlineStr">
        <is>
          <t>Warship delivery timelines &amp; export order pipeline</t>
        </is>
      </c>
    </row>
    <row r="9" ht="21" customHeight="1">
      <c r="A9" s="13" t="inlineStr">
        <is>
          <t>28-Jan</t>
        </is>
      </c>
      <c r="B9" s="13" t="inlineStr">
        <is>
          <t>Confirmed Q3</t>
        </is>
      </c>
      <c r="C9" s="13" t="inlineStr">
        <is>
          <t>BEL</t>
        </is>
      </c>
      <c r="D9" s="18" t="inlineStr">
        <is>
          <t>Bharat Electronics Ltd</t>
        </is>
      </c>
      <c r="E9" s="18" t="inlineStr">
        <is>
          <t>Defence Electronics</t>
        </is>
      </c>
      <c r="F9" s="13" t="inlineStr">
        <is>
          <t>Large Cap</t>
        </is>
      </c>
      <c r="G9" s="21" t="inlineStr">
        <is>
          <t>Bullish</t>
        </is>
      </c>
      <c r="H9" s="18" t="inlineStr">
        <is>
          <t>Radar/avionics domestic order inflows &amp; indigenous execution</t>
        </is>
      </c>
    </row>
    <row r="10" ht="21" customHeight="1">
      <c r="A10" s="10" t="inlineStr">
        <is>
          <t>28-Jan</t>
        </is>
      </c>
      <c r="B10" s="10" t="inlineStr">
        <is>
          <t>Confirmed Q3</t>
        </is>
      </c>
      <c r="C10" s="10" t="inlineStr">
        <is>
          <t>GVT&amp;D</t>
        </is>
      </c>
      <c r="D10" s="20" t="inlineStr">
        <is>
          <t>GE Vernova T&amp;D India Ltd</t>
        </is>
      </c>
      <c r="E10" s="20" t="inlineStr">
        <is>
          <t>Power Transmission &amp; Equipment</t>
        </is>
      </c>
      <c r="F10" s="10" t="inlineStr">
        <is>
          <t>Mid Cap</t>
        </is>
      </c>
      <c r="G10" s="19" t="inlineStr">
        <is>
          <t>Scheduled Date</t>
        </is>
      </c>
      <c r="H10" s="20" t="inlineStr">
        <is>
          <t>Grid modernization orders &amp; high-voltage equipment demand</t>
        </is>
      </c>
    </row>
    <row r="11" ht="21" customHeight="1">
      <c r="A11" s="13" t="inlineStr">
        <is>
          <t>28-Jan</t>
        </is>
      </c>
      <c r="B11" s="13" t="inlineStr">
        <is>
          <t>Confirmed Q3</t>
        </is>
      </c>
      <c r="C11" s="13" t="inlineStr">
        <is>
          <t>SAGILITY</t>
        </is>
      </c>
      <c r="D11" s="18" t="inlineStr">
        <is>
          <t>Sagility India Ltd</t>
        </is>
      </c>
      <c r="E11" s="18" t="inlineStr">
        <is>
          <t>Healthcare &amp; IT Services</t>
        </is>
      </c>
      <c r="F11" s="13" t="inlineStr">
        <is>
          <t>Mid Cap</t>
        </is>
      </c>
      <c r="G11" s="19" t="inlineStr">
        <is>
          <t>Scheduled Date</t>
        </is>
      </c>
      <c r="H11" s="18" t="inlineStr">
        <is>
          <t>US healthcare payer/provider business process management</t>
        </is>
      </c>
    </row>
    <row r="12" ht="21" customHeight="1">
      <c r="A12" s="10" t="inlineStr">
        <is>
          <t>29-Jan</t>
        </is>
      </c>
      <c r="B12" s="10" t="inlineStr">
        <is>
          <t>Confirmed Q3</t>
        </is>
      </c>
      <c r="C12" s="10" t="inlineStr">
        <is>
          <t>HUDCO</t>
        </is>
      </c>
      <c r="D12" s="20" t="inlineStr">
        <is>
          <t>Housing &amp; Urban Development Corp Ltd</t>
        </is>
      </c>
      <c r="E12" s="20" t="inlineStr">
        <is>
          <t>Housing &amp; Infra Finance / NBFC</t>
        </is>
      </c>
      <c r="F12" s="10" t="inlineStr">
        <is>
          <t>Mid Cap</t>
        </is>
      </c>
      <c r="G12" s="19" t="inlineStr">
        <is>
          <t>Scheduled Date</t>
        </is>
      </c>
      <c r="H12" s="20" t="inlineStr">
        <is>
          <t>Urban housing loan disbursements &amp; low NPA profile</t>
        </is>
      </c>
    </row>
    <row r="13" ht="21" customHeight="1">
      <c r="A13" s="13" t="inlineStr">
        <is>
          <t>29-Jan</t>
        </is>
      </c>
      <c r="B13" s="13" t="inlineStr">
        <is>
          <t>Confirmed Q3</t>
        </is>
      </c>
      <c r="C13" s="13" t="inlineStr">
        <is>
          <t>RECLTD</t>
        </is>
      </c>
      <c r="D13" s="18" t="inlineStr">
        <is>
          <t>REC Limited</t>
        </is>
      </c>
      <c r="E13" s="18" t="inlineStr">
        <is>
          <t>Power Finance / NBFC</t>
        </is>
      </c>
      <c r="F13" s="13" t="inlineStr">
        <is>
          <t>Large Cap</t>
        </is>
      </c>
      <c r="G13" s="19" t="inlineStr">
        <is>
          <t>Scheduled Date</t>
        </is>
      </c>
      <c r="H13" s="18" t="inlineStr">
        <is>
          <t>Power project refinancing &amp; renewable book expansion</t>
        </is>
      </c>
    </row>
    <row r="14" ht="21" customHeight="1">
      <c r="A14" s="10" t="inlineStr">
        <is>
          <t>29-Jan</t>
        </is>
      </c>
      <c r="B14" s="10" t="inlineStr">
        <is>
          <t>Confirmed Q3</t>
        </is>
      </c>
      <c r="C14" s="10" t="inlineStr">
        <is>
          <t>TATAMOTORS</t>
        </is>
      </c>
      <c r="D14" s="20" t="inlineStr">
        <is>
          <t>Tata Motors Commercial Vehicles</t>
        </is>
      </c>
      <c r="E14" s="20" t="inlineStr">
        <is>
          <t>Commercial Vehicles</t>
        </is>
      </c>
      <c r="F14" s="10" t="inlineStr">
        <is>
          <t>Large Cap</t>
        </is>
      </c>
      <c r="G14" s="19" t="inlineStr">
        <is>
          <t>Scheduled Date</t>
        </is>
      </c>
      <c r="H14" s="20" t="inlineStr">
        <is>
          <t>Medium &amp; Heavy Commercial Vehicle (MHCV) tonnage growth</t>
        </is>
      </c>
    </row>
    <row r="15" ht="21" customHeight="1">
      <c r="A15" s="13" t="inlineStr">
        <is>
          <t>29-Jan</t>
        </is>
      </c>
      <c r="B15" s="13" t="inlineStr">
        <is>
          <t>Confirmed Q3</t>
        </is>
      </c>
      <c r="C15" s="13" t="inlineStr">
        <is>
          <t>DIXON</t>
        </is>
      </c>
      <c r="D15" s="18" t="inlineStr">
        <is>
          <t>Dixon Technologies (India) Ltd</t>
        </is>
      </c>
      <c r="E15" s="18" t="inlineStr">
        <is>
          <t>Consumer Electronics &amp; EMS</t>
        </is>
      </c>
      <c r="F15" s="13" t="inlineStr">
        <is>
          <t>Large Cap</t>
        </is>
      </c>
      <c r="G15" s="19" t="inlineStr">
        <is>
          <t>Scheduled Date</t>
        </is>
      </c>
      <c r="H15" s="18" t="inlineStr">
        <is>
          <t>Mobile phone assembly scale-up &amp; IT hardware PLI benefits</t>
        </is>
      </c>
    </row>
    <row r="16" ht="21" customHeight="1">
      <c r="A16" s="10" t="inlineStr">
        <is>
          <t>30-Jan</t>
        </is>
      </c>
      <c r="B16" s="10" t="inlineStr">
        <is>
          <t>Confirmed Q3</t>
        </is>
      </c>
      <c r="C16" s="10" t="inlineStr">
        <is>
          <t>WELCORP</t>
        </is>
      </c>
      <c r="D16" s="20" t="inlineStr">
        <is>
          <t>Welspun Corp Ltd</t>
        </is>
      </c>
      <c r="E16" s="20" t="inlineStr">
        <is>
          <t>Iron &amp; Steel Products / Pipes</t>
        </is>
      </c>
      <c r="F16" s="10" t="inlineStr">
        <is>
          <t>Mid Cap</t>
        </is>
      </c>
      <c r="G16" s="19" t="inlineStr">
        <is>
          <t>Scheduled Date</t>
        </is>
      </c>
      <c r="H16" s="20" t="inlineStr">
        <is>
          <t>Oil &amp; gas line pipe orders &amp; US subsidiary contribution</t>
        </is>
      </c>
    </row>
    <row r="17" ht="21" customHeight="1">
      <c r="A17" s="13" t="inlineStr">
        <is>
          <t>30-Jan</t>
        </is>
      </c>
      <c r="B17" s="13" t="inlineStr">
        <is>
          <t>Confirmed Q3</t>
        </is>
      </c>
      <c r="C17" s="13" t="inlineStr">
        <is>
          <t>NATIONALUM</t>
        </is>
      </c>
      <c r="D17" s="18" t="inlineStr">
        <is>
          <t>National Aluminium Company Ltd</t>
        </is>
      </c>
      <c r="E17" s="18" t="inlineStr">
        <is>
          <t>Metals &amp; Mining / Aluminium</t>
        </is>
      </c>
      <c r="F17" s="13" t="inlineStr">
        <is>
          <t>Large Cap</t>
        </is>
      </c>
      <c r="G17" s="19" t="inlineStr">
        <is>
          <t>Scheduled Date</t>
        </is>
      </c>
      <c r="H17" s="18" t="inlineStr">
        <is>
          <t>LME aluminium price realizations &amp; bauxite mine output</t>
        </is>
      </c>
    </row>
    <row r="18" ht="21" customHeight="1">
      <c r="A18" s="10" t="inlineStr">
        <is>
          <t>30-Jan</t>
        </is>
      </c>
      <c r="B18" s="10" t="inlineStr">
        <is>
          <t>Confirmed Q3</t>
        </is>
      </c>
      <c r="C18" s="10" t="inlineStr">
        <is>
          <t>BRIGADE</t>
        </is>
      </c>
      <c r="D18" s="20" t="inlineStr">
        <is>
          <t>Brigade Enterprises Ltd</t>
        </is>
      </c>
      <c r="E18" s="20" t="inlineStr">
        <is>
          <t>Real Estate Development</t>
        </is>
      </c>
      <c r="F18" s="10" t="inlineStr">
        <is>
          <t>Mid Cap</t>
        </is>
      </c>
      <c r="G18" s="19" t="inlineStr">
        <is>
          <t>Scheduled Date</t>
        </is>
      </c>
      <c r="H18" s="20" t="inlineStr">
        <is>
          <t>Bengaluru/Chennai residential bookings &amp; hospitality revPAR</t>
        </is>
      </c>
    </row>
    <row r="19" ht="21" customHeight="1">
      <c r="A19" s="13" t="inlineStr">
        <is>
          <t>30-Jan</t>
        </is>
      </c>
      <c r="B19" s="13" t="inlineStr">
        <is>
          <t>Confirmed Q3</t>
        </is>
      </c>
      <c r="C19" s="13" t="inlineStr">
        <is>
          <t>TATAINVEST</t>
        </is>
      </c>
      <c r="D19" s="18" t="inlineStr">
        <is>
          <t>Tata Investment Corporation Ltd</t>
        </is>
      </c>
      <c r="E19" s="18" t="inlineStr">
        <is>
          <t>Financial Services &amp; Holdings</t>
        </is>
      </c>
      <c r="F19" s="13" t="inlineStr">
        <is>
          <t>Mid Cap</t>
        </is>
      </c>
      <c r="G19" s="19" t="inlineStr">
        <is>
          <t>Scheduled Date</t>
        </is>
      </c>
      <c r="H19" s="18" t="inlineStr">
        <is>
          <t>Holding company dividend income &amp; Tata Group market cap surge</t>
        </is>
      </c>
    </row>
    <row r="20" ht="21" customHeight="1">
      <c r="A20" s="10" t="inlineStr">
        <is>
          <t>31-Jan</t>
        </is>
      </c>
      <c r="B20" s="10" t="inlineStr">
        <is>
          <t>Confirmed Q3</t>
        </is>
      </c>
      <c r="C20" s="10" t="inlineStr">
        <is>
          <t>BDL</t>
        </is>
      </c>
      <c r="D20" s="20" t="inlineStr">
        <is>
          <t>Bharat Dynamics Ltd</t>
        </is>
      </c>
      <c r="E20" s="20" t="inlineStr">
        <is>
          <t>Defence &amp; Aerospace</t>
        </is>
      </c>
      <c r="F20" s="10" t="inlineStr">
        <is>
          <t>Mid Cap</t>
        </is>
      </c>
      <c r="G20" s="19" t="inlineStr">
        <is>
          <t>Scheduled Date</t>
        </is>
      </c>
      <c r="H20" s="20" t="inlineStr">
        <is>
          <t>Missile supply schedules &amp; export contracts</t>
        </is>
      </c>
    </row>
    <row r="21" ht="21" customHeight="1">
      <c r="A21" s="13" t="inlineStr">
        <is>
          <t>31-Jan</t>
        </is>
      </c>
      <c r="B21" s="13" t="inlineStr">
        <is>
          <t>Confirmed Q3</t>
        </is>
      </c>
      <c r="C21" s="13" t="inlineStr">
        <is>
          <t>DELHIVERY</t>
        </is>
      </c>
      <c r="D21" s="18" t="inlineStr">
        <is>
          <t>Delhivery Ltd</t>
        </is>
      </c>
      <c r="E21" s="18" t="inlineStr">
        <is>
          <t>Logistics &amp; Supply Chain</t>
        </is>
      </c>
      <c r="F21" s="13" t="inlineStr">
        <is>
          <t>Mid Cap</t>
        </is>
      </c>
      <c r="G21" s="22" t="inlineStr">
        <is>
          <t>Bearish</t>
        </is>
      </c>
      <c r="H21" s="18" t="inlineStr">
        <is>
          <t>Express parcel shipment volumes &amp; truckload network yield</t>
        </is>
      </c>
    </row>
    <row r="22" ht="21" customHeight="1">
      <c r="A22" s="10" t="inlineStr">
        <is>
          <t>31-Jan</t>
        </is>
      </c>
      <c r="B22" s="10" t="inlineStr">
        <is>
          <t>Pre-IPO Date</t>
        </is>
      </c>
      <c r="C22" s="10" t="inlineStr">
        <is>
          <t>BELRISE (Pre-IPO)</t>
        </is>
      </c>
      <c r="D22" s="20" t="inlineStr">
        <is>
          <t>Belrise Industries Ltd</t>
        </is>
      </c>
      <c r="E22" s="20" t="inlineStr">
        <is>
          <t>Automotive Components</t>
        </is>
      </c>
      <c r="F22" s="10" t="inlineStr">
        <is>
          <t>IPO / Unlisted</t>
        </is>
      </c>
      <c r="G22" s="19" t="inlineStr">
        <is>
          <t>Scheduled Date</t>
        </is>
      </c>
      <c r="H22" s="20" t="inlineStr">
        <is>
          <t>Two-wheeler chassis &amp; automotive precision component supply</t>
        </is>
      </c>
    </row>
    <row r="23" ht="21" customHeight="1">
      <c r="A23" s="13" t="inlineStr">
        <is>
          <t>04-Feb</t>
        </is>
      </c>
      <c r="B23" s="13" t="inlineStr">
        <is>
          <t>Confirmed Q3</t>
        </is>
      </c>
      <c r="C23" s="13" t="inlineStr">
        <is>
          <t>TRENT</t>
        </is>
      </c>
      <c r="D23" s="18" t="inlineStr">
        <is>
          <t>Trent Ltd</t>
        </is>
      </c>
      <c r="E23" s="18" t="inlineStr">
        <is>
          <t>Consumer Retail &amp; Fashion</t>
        </is>
      </c>
      <c r="F23" s="13" t="inlineStr">
        <is>
          <t>Large Cap</t>
        </is>
      </c>
      <c r="G23" s="19" t="inlineStr">
        <is>
          <t>Scheduled Date</t>
        </is>
      </c>
      <c r="H23" s="18" t="inlineStr">
        <is>
          <t>Zudio &amp; Westside same-store sales growth (SSSG)</t>
        </is>
      </c>
    </row>
    <row r="24" ht="21" customHeight="1">
      <c r="A24" s="10" t="inlineStr">
        <is>
          <t>05-Feb</t>
        </is>
      </c>
      <c r="B24" s="10" t="inlineStr">
        <is>
          <t>Confirmed Q3</t>
        </is>
      </c>
      <c r="C24" s="10" t="inlineStr">
        <is>
          <t>JKPAPER</t>
        </is>
      </c>
      <c r="D24" s="20" t="inlineStr">
        <is>
          <t>JK Paper Ltd</t>
        </is>
      </c>
      <c r="E24" s="20" t="inlineStr">
        <is>
          <t>Paper &amp; Forest Products</t>
        </is>
      </c>
      <c r="F24" s="10" t="inlineStr">
        <is>
          <t>Small Cap</t>
        </is>
      </c>
      <c r="G24" s="19" t="inlineStr">
        <is>
          <t>Scheduled Date</t>
        </is>
      </c>
      <c r="H24" s="20" t="inlineStr">
        <is>
          <t>Wood/raw material input costs &amp; realization margins</t>
        </is>
      </c>
    </row>
    <row r="25" ht="21" customHeight="1">
      <c r="A25" s="13" t="inlineStr">
        <is>
          <t>05-Feb</t>
        </is>
      </c>
      <c r="B25" s="13" t="inlineStr">
        <is>
          <t>Confirmed Q3</t>
        </is>
      </c>
      <c r="C25" s="13" t="inlineStr">
        <is>
          <t>TATAMOTORS</t>
        </is>
      </c>
      <c r="D25" s="18" t="inlineStr">
        <is>
          <t>Tata Motors Ltd (PV / EV)</t>
        </is>
      </c>
      <c r="E25" s="18" t="inlineStr">
        <is>
          <t>Automobiles &amp; EV</t>
        </is>
      </c>
      <c r="F25" s="13" t="inlineStr">
        <is>
          <t>Large Cap</t>
        </is>
      </c>
      <c r="G25" s="19" t="inlineStr">
        <is>
          <t>Scheduled Date</t>
        </is>
      </c>
      <c r="H25" s="18" t="inlineStr">
        <is>
          <t>Passenger vehicle EV sales trajectory &amp; JLR profitability</t>
        </is>
      </c>
    </row>
    <row r="26" ht="21" customHeight="1">
      <c r="A26" s="10" t="inlineStr">
        <is>
          <t>05-Feb</t>
        </is>
      </c>
      <c r="B26" s="10" t="inlineStr">
        <is>
          <t>Confirmed Q3</t>
        </is>
      </c>
      <c r="C26" s="10" t="inlineStr">
        <is>
          <t>GODREJPROP</t>
        </is>
      </c>
      <c r="D26" s="20" t="inlineStr">
        <is>
          <t>Godrej Properties / Godrej Agrovet</t>
        </is>
      </c>
      <c r="E26" s="20" t="inlineStr">
        <is>
          <t>Real Estate &amp; Agri-Business</t>
        </is>
      </c>
      <c r="F26" s="10" t="inlineStr">
        <is>
          <t>Large Cap</t>
        </is>
      </c>
      <c r="G26" s="19" t="inlineStr">
        <is>
          <t>Scheduled Date</t>
        </is>
      </c>
      <c r="H26" s="20" t="inlineStr">
        <is>
          <t>Pre-sales booking momentum &amp; new land parcel additions</t>
        </is>
      </c>
    </row>
    <row r="27" ht="21" customHeight="1">
      <c r="A27" s="13" t="inlineStr">
        <is>
          <t>05-Feb</t>
        </is>
      </c>
      <c r="B27" s="13" t="inlineStr">
        <is>
          <t>Confirmed Q3</t>
        </is>
      </c>
      <c r="C27" s="13" t="inlineStr">
        <is>
          <t>SUZLON</t>
        </is>
      </c>
      <c r="D27" s="18" t="inlineStr">
        <is>
          <t>Suzlon Energy Ltd</t>
        </is>
      </c>
      <c r="E27" s="18" t="inlineStr">
        <is>
          <t>Renewable Energy / Wind</t>
        </is>
      </c>
      <c r="F27" s="13" t="inlineStr">
        <is>
          <t>Large Cap</t>
        </is>
      </c>
      <c r="G27" s="22" t="inlineStr">
        <is>
          <t>Bearish</t>
        </is>
      </c>
      <c r="H27" s="18" t="inlineStr">
        <is>
          <t>Wind turbine delivery execution &amp; WTG supply chain health</t>
        </is>
      </c>
    </row>
    <row r="28" ht="21" customHeight="1">
      <c r="A28" s="10" t="inlineStr">
        <is>
          <t>05-Feb</t>
        </is>
      </c>
      <c r="B28" s="10" t="inlineStr">
        <is>
          <t>Confirmed Q3</t>
        </is>
      </c>
      <c r="C28" s="10" t="inlineStr">
        <is>
          <t>RVNL</t>
        </is>
      </c>
      <c r="D28" s="20" t="inlineStr">
        <is>
          <t>Rail Vikas Nigam Ltd</t>
        </is>
      </c>
      <c r="E28" s="20" t="inlineStr">
        <is>
          <t>Railways Infrastructure</t>
        </is>
      </c>
      <c r="F28" s="10" t="inlineStr">
        <is>
          <t>Large Cap</t>
        </is>
      </c>
      <c r="G28" s="19" t="inlineStr">
        <is>
          <t>Scheduled Date</t>
        </is>
      </c>
      <c r="H28" s="20" t="inlineStr">
        <is>
          <t>Domestic railway track doubling, metro lines &amp; overseas bids</t>
        </is>
      </c>
    </row>
    <row r="29" ht="21" customHeight="1">
      <c r="A29" s="13" t="inlineStr">
        <is>
          <t>05-Feb</t>
        </is>
      </c>
      <c r="B29" s="13" t="inlineStr">
        <is>
          <t>Confirmed Q3</t>
        </is>
      </c>
      <c r="C29" s="13" t="inlineStr">
        <is>
          <t>KAYNES</t>
        </is>
      </c>
      <c r="D29" s="18" t="inlineStr">
        <is>
          <t>Kaynes Technology India Ltd</t>
        </is>
      </c>
      <c r="E29" s="18" t="inlineStr">
        <is>
          <t>Consumer Electronics &amp; EMS</t>
        </is>
      </c>
      <c r="F29" s="13" t="inlineStr">
        <is>
          <t>Mid Cap</t>
        </is>
      </c>
      <c r="G29" s="19" t="inlineStr">
        <is>
          <t>Scheduled Date</t>
        </is>
      </c>
      <c r="H29" s="18" t="inlineStr">
        <is>
          <t>Aerospace/automotive EMS orders &amp; OSAT chip testing facility</t>
        </is>
      </c>
    </row>
    <row r="30" ht="21" customHeight="1">
      <c r="A30" s="10" t="inlineStr">
        <is>
          <t>07-Feb</t>
        </is>
      </c>
      <c r="B30" s="10" t="inlineStr">
        <is>
          <t>Confirmed Q3</t>
        </is>
      </c>
      <c r="C30" s="10" t="inlineStr">
        <is>
          <t>HBLPOWER</t>
        </is>
      </c>
      <c r="D30" s="20" t="inlineStr">
        <is>
          <t>HBL Power Systems Ltd</t>
        </is>
      </c>
      <c r="E30" s="20" t="inlineStr">
        <is>
          <t>Defence, Railways &amp; Batteries</t>
        </is>
      </c>
      <c r="F30" s="10" t="inlineStr">
        <is>
          <t>Mid Cap</t>
        </is>
      </c>
      <c r="G30" s="19" t="inlineStr">
        <is>
          <t>Scheduled Date</t>
        </is>
      </c>
      <c r="H30" s="20" t="inlineStr">
        <is>
          <t>Kavach automatic train protection orders &amp; submarine battery</t>
        </is>
      </c>
    </row>
    <row r="31" ht="21" customHeight="1">
      <c r="A31" s="13" t="inlineStr">
        <is>
          <t>09-Feb</t>
        </is>
      </c>
      <c r="B31" s="13" t="inlineStr">
        <is>
          <t>Confirmed Q3</t>
        </is>
      </c>
      <c r="C31" s="13" t="inlineStr">
        <is>
          <t>BSE</t>
        </is>
      </c>
      <c r="D31" s="18" t="inlineStr">
        <is>
          <t>BSE Limited</t>
        </is>
      </c>
      <c r="E31" s="18" t="inlineStr">
        <is>
          <t>Capital Markets &amp; Exchanges</t>
        </is>
      </c>
      <c r="F31" s="13" t="inlineStr">
        <is>
          <t>Mid Cap</t>
        </is>
      </c>
      <c r="G31" s="19" t="inlineStr">
        <is>
          <t>Scheduled Date</t>
        </is>
      </c>
      <c r="H31" s="18" t="inlineStr">
        <is>
          <t>Exchange volumes &amp; transaction revenue</t>
        </is>
      </c>
    </row>
    <row r="32" ht="21" customHeight="1">
      <c r="A32" s="10" t="inlineStr">
        <is>
          <t>11-Feb</t>
        </is>
      </c>
      <c r="B32" s="10" t="inlineStr">
        <is>
          <t>Confirmed Q3</t>
        </is>
      </c>
      <c r="C32" s="10" t="inlineStr">
        <is>
          <t>M&amp;M</t>
        </is>
      </c>
      <c r="D32" s="20" t="inlineStr">
        <is>
          <t>Mahindra &amp; Mahindra Ltd</t>
        </is>
      </c>
      <c r="E32" s="20" t="inlineStr">
        <is>
          <t>Automobiles &amp; Farm Equipment</t>
        </is>
      </c>
      <c r="F32" s="10" t="inlineStr">
        <is>
          <t>Large Cap</t>
        </is>
      </c>
      <c r="G32" s="19" t="inlineStr">
        <is>
          <t>Scheduled Date</t>
        </is>
      </c>
      <c r="H32" s="20" t="inlineStr">
        <is>
          <t>SUV order backlog delivery pace &amp; tractor demand revival</t>
        </is>
      </c>
    </row>
    <row r="33" ht="21" customHeight="1">
      <c r="A33" s="13" t="inlineStr">
        <is>
          <t>12-Feb</t>
        </is>
      </c>
      <c r="B33" s="13" t="inlineStr">
        <is>
          <t>Confirmed Q3</t>
        </is>
      </c>
      <c r="C33" s="13" t="inlineStr">
        <is>
          <t>CRISIL</t>
        </is>
      </c>
      <c r="D33" s="18" t="inlineStr">
        <is>
          <t>CRISIL Ltd</t>
        </is>
      </c>
      <c r="E33" s="18" t="inlineStr">
        <is>
          <t>Credit Rating &amp; Analytics</t>
        </is>
      </c>
      <c r="F33" s="13" t="inlineStr">
        <is>
          <t>Mid Cap</t>
        </is>
      </c>
      <c r="G33" s="19" t="inlineStr">
        <is>
          <t>Scheduled Date</t>
        </is>
      </c>
      <c r="H33" s="18" t="inlineStr">
        <is>
          <t>Corporate bond rating pipeline &amp; global research mandates</t>
        </is>
      </c>
    </row>
    <row r="34" ht="21" customHeight="1">
      <c r="A34" s="10" t="inlineStr">
        <is>
          <t>26-Feb</t>
        </is>
      </c>
      <c r="B34" s="10" t="inlineStr">
        <is>
          <t>Confirmed Q3</t>
        </is>
      </c>
      <c r="C34" s="10" t="inlineStr">
        <is>
          <t>KALYANKJIL</t>
        </is>
      </c>
      <c r="D34" s="20" t="inlineStr">
        <is>
          <t>Kalyan Jewellers India Ltd</t>
        </is>
      </c>
      <c r="E34" s="20" t="inlineStr">
        <is>
          <t>Consumer Retail &amp; Jewellery</t>
        </is>
      </c>
      <c r="F34" s="10" t="inlineStr">
        <is>
          <t>Large Cap</t>
        </is>
      </c>
      <c r="G34" s="19" t="inlineStr">
        <is>
          <t>Scheduled Date</t>
        </is>
      </c>
      <c r="H34" s="20" t="inlineStr">
        <is>
          <t>Wedding season jewellery demand &amp; FOCO showroom expansion</t>
        </is>
      </c>
    </row>
  </sheetData>
  <autoFilter ref="A4:H3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4" customWidth="1" min="3" max="3"/>
    <col width="17" customWidth="1" min="4" max="4"/>
    <col width="24" customWidth="1" min="5" max="5"/>
    <col width="16" customWidth="1" min="6" max="6"/>
    <col width="50" customWidth="1" min="7" max="7"/>
  </cols>
  <sheetData>
    <row r="1" ht="28" customHeight="1">
      <c r="A1" s="1" t="inlineStr">
        <is>
          <t>SECTORAL &amp; THEMATIC BREAKDOWN</t>
        </is>
      </c>
    </row>
    <row r="2" ht="18" customHeight="1">
      <c r="A2" s="2" t="inlineStr">
        <is>
          <t>Categorized clusters of Renewable Energy, Defence, Rail/Infra, Electronics/EMS, Auto/EV &amp; Finance</t>
        </is>
      </c>
    </row>
    <row r="3" ht="10" customHeight="1"/>
    <row r="4" ht="26" customHeight="1">
      <c r="A4" s="7" t="inlineStr">
        <is>
          <t>Cluster / Sector</t>
        </is>
      </c>
      <c r="B4" s="8" t="inlineStr">
        <is>
          <t>NSE Symbol</t>
        </is>
      </c>
      <c r="C4" s="7" t="inlineStr">
        <is>
          <t>Company Name</t>
        </is>
      </c>
      <c r="D4" s="8" t="inlineStr">
        <is>
          <t>Market Cap</t>
        </is>
      </c>
      <c r="E4" s="8" t="inlineStr">
        <is>
          <t>Technical / Sentiment</t>
        </is>
      </c>
      <c r="F4" s="8" t="inlineStr">
        <is>
          <t>Earnings Date</t>
        </is>
      </c>
      <c r="G4" s="7" t="inlineStr">
        <is>
          <t>Investment Rationale</t>
        </is>
      </c>
    </row>
    <row r="5" ht="24" customHeight="1">
      <c r="A5" s="24" t="inlineStr">
        <is>
          <t>• RENEWABLE ENERGY &amp; CLEAN TECH (SOLAR / WIND / GREEN NBFC) (13 Stocks)</t>
        </is>
      </c>
      <c r="B5" s="4" t="n"/>
      <c r="C5" s="4" t="n"/>
      <c r="D5" s="4" t="n"/>
      <c r="E5" s="4" t="n"/>
      <c r="F5" s="4" t="n"/>
      <c r="G5" s="4" t="n"/>
    </row>
    <row r="6" ht="20" customHeight="1">
      <c r="A6" s="20" t="inlineStr">
        <is>
          <t>Renewable Energy &amp; Clean Tech</t>
        </is>
      </c>
      <c r="B6" s="10" t="inlineStr">
        <is>
          <t>INA</t>
        </is>
      </c>
      <c r="C6" s="20" t="inlineStr">
        <is>
          <t>Insolation Energy Ltd</t>
        </is>
      </c>
      <c r="D6" s="10" t="inlineStr">
        <is>
          <t>Small Cap</t>
        </is>
      </c>
      <c r="E6" s="19" t="inlineStr">
        <is>
          <t>Watchlist</t>
        </is>
      </c>
      <c r="F6" s="10" t="inlineStr">
        <is>
          <t>Watchlist</t>
        </is>
      </c>
      <c r="G6" s="20" t="inlineStr">
        <is>
          <t>Solar panel manufacturing capacity additions &amp; ALMM orders</t>
        </is>
      </c>
    </row>
    <row r="7" ht="20" customHeight="1">
      <c r="A7" s="18" t="inlineStr">
        <is>
          <t>Renewable Energy &amp; Clean Tech</t>
        </is>
      </c>
      <c r="B7" s="13" t="inlineStr">
        <is>
          <t>SAATVIK (Pre-IPO)</t>
        </is>
      </c>
      <c r="C7" s="18" t="inlineStr">
        <is>
          <t>Saatvik Green Energy Ltd</t>
        </is>
      </c>
      <c r="D7" s="13" t="inlineStr">
        <is>
          <t>IPO / Unlisted</t>
        </is>
      </c>
      <c r="E7" s="19" t="inlineStr">
        <is>
          <t>Watchlist</t>
        </is>
      </c>
      <c r="F7" s="13" t="inlineStr">
        <is>
          <t>IPO Watch</t>
        </is>
      </c>
      <c r="G7" s="18" t="inlineStr">
        <is>
          <t>High-efficiency TOPCon solar module order pipeline</t>
        </is>
      </c>
    </row>
    <row r="8" ht="20" customHeight="1">
      <c r="A8" s="20" t="inlineStr">
        <is>
          <t>Renewable Energy &amp; Clean Tech</t>
        </is>
      </c>
      <c r="B8" s="10" t="inlineStr">
        <is>
          <t>WAAREERTL</t>
        </is>
      </c>
      <c r="C8" s="20" t="inlineStr">
        <is>
          <t>Waaree Renewable Technologies Ltd</t>
        </is>
      </c>
      <c r="D8" s="10" t="inlineStr">
        <is>
          <t>Small Cap</t>
        </is>
      </c>
      <c r="E8" s="21" t="inlineStr">
        <is>
          <t>Strong Bullish</t>
        </is>
      </c>
      <c r="F8" s="10" t="inlineStr">
        <is>
          <t>Watchlist</t>
        </is>
      </c>
      <c r="G8" s="20" t="inlineStr">
        <is>
          <t>Utility-scale ground mount solar EPC contract pipeline</t>
        </is>
      </c>
    </row>
    <row r="9" ht="20" customHeight="1">
      <c r="A9" s="18" t="inlineStr">
        <is>
          <t>Renewable Energy &amp; Clean Tech</t>
        </is>
      </c>
      <c r="B9" s="13" t="inlineStr">
        <is>
          <t>SUZLON</t>
        </is>
      </c>
      <c r="C9" s="18" t="inlineStr">
        <is>
          <t>Suzlon Energy Ltd</t>
        </is>
      </c>
      <c r="D9" s="13" t="inlineStr">
        <is>
          <t>Large Cap</t>
        </is>
      </c>
      <c r="E9" s="22" t="inlineStr">
        <is>
          <t>Bearish</t>
        </is>
      </c>
      <c r="F9" s="13" t="inlineStr">
        <is>
          <t>05-Feb</t>
        </is>
      </c>
      <c r="G9" s="18" t="inlineStr">
        <is>
          <t>Wind turbine delivery execution &amp; WTG supply chain health</t>
        </is>
      </c>
    </row>
    <row r="10" ht="20" customHeight="1">
      <c r="A10" s="20" t="inlineStr">
        <is>
          <t>Renewable Energy &amp; Clean Tech</t>
        </is>
      </c>
      <c r="B10" s="10" t="inlineStr">
        <is>
          <t>INOXWIND</t>
        </is>
      </c>
      <c r="C10" s="20" t="inlineStr">
        <is>
          <t>Inox Wind Ltd</t>
        </is>
      </c>
      <c r="D10" s="10" t="inlineStr">
        <is>
          <t>Mid Cap</t>
        </is>
      </c>
      <c r="E10" s="19" t="inlineStr">
        <is>
          <t>Watchlist</t>
        </is>
      </c>
      <c r="F10" s="10" t="inlineStr">
        <is>
          <t>Watchlist</t>
        </is>
      </c>
      <c r="G10" s="20" t="inlineStr">
        <is>
          <t>3.3 MW turbine commercial rollout &amp; debt reduction progress</t>
        </is>
      </c>
    </row>
    <row r="11" ht="20" customHeight="1">
      <c r="A11" s="18" t="inlineStr">
        <is>
          <t>Renewable Energy &amp; Clean Tech</t>
        </is>
      </c>
      <c r="B11" s="13" t="inlineStr">
        <is>
          <t>ORIANA</t>
        </is>
      </c>
      <c r="C11" s="18" t="inlineStr">
        <is>
          <t>Oriana Power Ltd</t>
        </is>
      </c>
      <c r="D11" s="13" t="inlineStr">
        <is>
          <t>Small Cap</t>
        </is>
      </c>
      <c r="E11" s="19" t="inlineStr">
        <is>
          <t>Watchlist</t>
        </is>
      </c>
      <c r="F11" s="13" t="inlineStr">
        <is>
          <t>Watchlist</t>
        </is>
      </c>
      <c r="G11" s="18" t="inlineStr">
        <is>
          <t>Commercial &amp; industrial rooftop/ground-mount solar EPC orders</t>
        </is>
      </c>
    </row>
    <row r="12" ht="20" customHeight="1">
      <c r="A12" s="20" t="inlineStr">
        <is>
          <t>Renewable Energy &amp; Clean Tech</t>
        </is>
      </c>
      <c r="B12" s="10" t="inlineStr">
        <is>
          <t>WAAREE</t>
        </is>
      </c>
      <c r="C12" s="20" t="inlineStr">
        <is>
          <t>Waaree Energies Ltd</t>
        </is>
      </c>
      <c r="D12" s="10" t="inlineStr">
        <is>
          <t>Large Cap</t>
        </is>
      </c>
      <c r="E12" s="21" t="inlineStr">
        <is>
          <t>Strong Bullish</t>
        </is>
      </c>
      <c r="F12" s="10" t="inlineStr">
        <is>
          <t>Watchlist</t>
        </is>
      </c>
      <c r="G12" s="20" t="inlineStr">
        <is>
          <t>Solar PV module exports to US &amp; domestic capacity expansion</t>
        </is>
      </c>
    </row>
    <row r="13" ht="20" customHeight="1">
      <c r="A13" s="18" t="inlineStr">
        <is>
          <t>Renewable Energy &amp; Clean Tech</t>
        </is>
      </c>
      <c r="B13" s="13" t="inlineStr">
        <is>
          <t>IREDA</t>
        </is>
      </c>
      <c r="C13" s="18" t="inlineStr">
        <is>
          <t>Indian Renewable Energy Dev Agency Ltd</t>
        </is>
      </c>
      <c r="D13" s="13" t="inlineStr">
        <is>
          <t>Large Cap</t>
        </is>
      </c>
      <c r="E13" s="21" t="inlineStr">
        <is>
          <t>Bullish</t>
        </is>
      </c>
      <c r="F13" s="13" t="inlineStr">
        <is>
          <t>Watchlist</t>
        </is>
      </c>
      <c r="G13" s="18" t="inlineStr">
        <is>
          <t>Green energy loan sanctions, loan book CAGR &amp; zero NPA trend</t>
        </is>
      </c>
    </row>
    <row r="14" ht="20" customHeight="1">
      <c r="A14" s="20" t="inlineStr">
        <is>
          <t>Renewable Energy &amp; Clean Tech</t>
        </is>
      </c>
      <c r="B14" s="10" t="inlineStr">
        <is>
          <t>SWSOLAR</t>
        </is>
      </c>
      <c r="C14" s="20" t="inlineStr">
        <is>
          <t>Sterling and Wilson Renewable Energy Ltd</t>
        </is>
      </c>
      <c r="D14" s="10" t="inlineStr">
        <is>
          <t>Small Cap</t>
        </is>
      </c>
      <c r="E14" s="22" t="inlineStr">
        <is>
          <t>Bearish</t>
        </is>
      </c>
      <c r="F14" s="10" t="inlineStr">
        <is>
          <t>Watchlist</t>
        </is>
      </c>
      <c r="G14" s="20" t="inlineStr">
        <is>
          <t>International solar EPC execution &amp; unbilled revenue recovery</t>
        </is>
      </c>
    </row>
    <row r="15" ht="20" customHeight="1">
      <c r="A15" s="18" t="inlineStr">
        <is>
          <t>Renewable Energy &amp; Clean Tech</t>
        </is>
      </c>
      <c r="B15" s="13" t="inlineStr">
        <is>
          <t>KPENERGY</t>
        </is>
      </c>
      <c r="C15" s="18" t="inlineStr">
        <is>
          <t>KP Energy Ltd</t>
        </is>
      </c>
      <c r="D15" s="13" t="inlineStr">
        <is>
          <t>Small Cap</t>
        </is>
      </c>
      <c r="E15" s="21" t="inlineStr">
        <is>
          <t>Strong Bullish</t>
        </is>
      </c>
      <c r="F15" s="13" t="inlineStr">
        <is>
          <t>Watchlist</t>
        </is>
      </c>
      <c r="G15" s="18" t="inlineStr">
        <is>
          <t>Wind energy balance of plant (BoP) execution in Gujarat</t>
        </is>
      </c>
    </row>
    <row r="16" ht="20" customHeight="1">
      <c r="A16" s="20" t="inlineStr">
        <is>
          <t>Renewable Energy &amp; Clean Tech</t>
        </is>
      </c>
      <c r="B16" s="10" t="inlineStr">
        <is>
          <t>VIKRAM (Pre-IPO)</t>
        </is>
      </c>
      <c r="C16" s="20" t="inlineStr">
        <is>
          <t>Vikram Solar Ltd</t>
        </is>
      </c>
      <c r="D16" s="10" t="inlineStr">
        <is>
          <t>IPO / Unlisted</t>
        </is>
      </c>
      <c r="E16" s="21" t="inlineStr">
        <is>
          <t>Strong Bullish</t>
        </is>
      </c>
      <c r="F16" s="10" t="inlineStr">
        <is>
          <t>IPO Watch</t>
        </is>
      </c>
      <c r="G16" s="20" t="inlineStr">
        <is>
          <t>Upcoming solar cell/module manufacturing IPO</t>
        </is>
      </c>
    </row>
    <row r="17" ht="20" customHeight="1">
      <c r="A17" s="18" t="inlineStr">
        <is>
          <t>Renewable Energy &amp; Clean Tech</t>
        </is>
      </c>
      <c r="B17" s="13" t="inlineStr">
        <is>
          <t>PREMIERENE</t>
        </is>
      </c>
      <c r="C17" s="18" t="inlineStr">
        <is>
          <t>Premier Energies Ltd</t>
        </is>
      </c>
      <c r="D17" s="13" t="inlineStr">
        <is>
          <t>Mid Cap</t>
        </is>
      </c>
      <c r="E17" s="21" t="inlineStr">
        <is>
          <t>Strong Bullish</t>
        </is>
      </c>
      <c r="F17" s="13" t="inlineStr">
        <is>
          <t>Watchlist</t>
        </is>
      </c>
      <c r="G17" s="18" t="inlineStr">
        <is>
          <t>Solar cell &amp; module manufacturing order book delivery</t>
        </is>
      </c>
    </row>
    <row r="18" ht="20" customHeight="1">
      <c r="A18" s="20" t="inlineStr">
        <is>
          <t>Renewable Energy &amp; Clean Tech</t>
        </is>
      </c>
      <c r="B18" s="10" t="inlineStr">
        <is>
          <t>EMVEE (Pre-IPO)</t>
        </is>
      </c>
      <c r="C18" s="20" t="inlineStr">
        <is>
          <t>Emvee Photovoltaic Power Ltd</t>
        </is>
      </c>
      <c r="D18" s="10" t="inlineStr">
        <is>
          <t>IPO / Unlisted</t>
        </is>
      </c>
      <c r="E18" s="21" t="inlineStr">
        <is>
          <t>Strong Bullish</t>
        </is>
      </c>
      <c r="F18" s="10" t="inlineStr">
        <is>
          <t>IPO Watch</t>
        </is>
      </c>
      <c r="G18" s="20" t="inlineStr">
        <is>
          <t>Upcoming TOPCon solar cell/module manufacturing IPO</t>
        </is>
      </c>
    </row>
    <row r="19"/>
    <row r="20" ht="24" customHeight="1">
      <c r="A20" s="24" t="inlineStr">
        <is>
          <t>• DEFENCE, AEROSPACE &amp; NAVAL SHIPBUILDING (9 Stocks)</t>
        </is>
      </c>
      <c r="B20" s="4" t="n"/>
      <c r="C20" s="4" t="n"/>
      <c r="D20" s="4" t="n"/>
      <c r="E20" s="4" t="n"/>
      <c r="F20" s="4" t="n"/>
      <c r="G20" s="4" t="n"/>
    </row>
    <row r="21" ht="20" customHeight="1">
      <c r="A21" s="18" t="inlineStr">
        <is>
          <t>Defence, Aerospace &amp; Naval Shipbuilding</t>
        </is>
      </c>
      <c r="B21" s="13" t="inlineStr">
        <is>
          <t>COCHINSHIP</t>
        </is>
      </c>
      <c r="C21" s="18" t="inlineStr">
        <is>
          <t>Cochin Shipyard Ltd</t>
        </is>
      </c>
      <c r="D21" s="13" t="inlineStr">
        <is>
          <t>Mid Cap</t>
        </is>
      </c>
      <c r="E21" s="19" t="inlineStr">
        <is>
          <t>Scheduled Date</t>
        </is>
      </c>
      <c r="F21" s="13" t="inlineStr">
        <is>
          <t>28-Jan</t>
        </is>
      </c>
      <c r="G21" s="18" t="inlineStr">
        <is>
          <t>Naval defence orderbook execution &amp; margin trends</t>
        </is>
      </c>
    </row>
    <row r="22" ht="20" customHeight="1">
      <c r="A22" s="20" t="inlineStr">
        <is>
          <t>Defence, Aerospace &amp; Naval Shipbuilding</t>
        </is>
      </c>
      <c r="B22" s="10" t="inlineStr">
        <is>
          <t>GRSE</t>
        </is>
      </c>
      <c r="C22" s="20" t="inlineStr">
        <is>
          <t>Garden Reach Shipbuilders &amp; Engineers Ltd</t>
        </is>
      </c>
      <c r="D22" s="10" t="inlineStr">
        <is>
          <t>Small Cap</t>
        </is>
      </c>
      <c r="E22" s="19" t="inlineStr">
        <is>
          <t>Scheduled Date</t>
        </is>
      </c>
      <c r="F22" s="10" t="inlineStr">
        <is>
          <t>28-Jan</t>
        </is>
      </c>
      <c r="G22" s="20" t="inlineStr">
        <is>
          <t>Warship delivery timelines &amp; export order pipeline</t>
        </is>
      </c>
    </row>
    <row r="23" ht="20" customHeight="1">
      <c r="A23" s="18" t="inlineStr">
        <is>
          <t>Defence, Aerospace &amp; Naval Shipbuilding</t>
        </is>
      </c>
      <c r="B23" s="13" t="inlineStr">
        <is>
          <t>BDL</t>
        </is>
      </c>
      <c r="C23" s="18" t="inlineStr">
        <is>
          <t>Bharat Dynamics Ltd</t>
        </is>
      </c>
      <c r="D23" s="13" t="inlineStr">
        <is>
          <t>Mid Cap</t>
        </is>
      </c>
      <c r="E23" s="19" t="inlineStr">
        <is>
          <t>Scheduled Date</t>
        </is>
      </c>
      <c r="F23" s="13" t="inlineStr">
        <is>
          <t>31-Jan</t>
        </is>
      </c>
      <c r="G23" s="18" t="inlineStr">
        <is>
          <t>Missile supply schedules &amp; export contracts</t>
        </is>
      </c>
    </row>
    <row r="24" ht="20" customHeight="1">
      <c r="A24" s="20" t="inlineStr">
        <is>
          <t>Defence, Aerospace &amp; Naval Shipbuilding</t>
        </is>
      </c>
      <c r="B24" s="10" t="inlineStr">
        <is>
          <t>BEL</t>
        </is>
      </c>
      <c r="C24" s="20" t="inlineStr">
        <is>
          <t>Bharat Electronics Ltd</t>
        </is>
      </c>
      <c r="D24" s="10" t="inlineStr">
        <is>
          <t>Large Cap</t>
        </is>
      </c>
      <c r="E24" s="21" t="inlineStr">
        <is>
          <t>Bullish</t>
        </is>
      </c>
      <c r="F24" s="10" t="inlineStr">
        <is>
          <t>28-Jan</t>
        </is>
      </c>
      <c r="G24" s="20" t="inlineStr">
        <is>
          <t>Radar/avionics domestic order inflows &amp; indigenous execution</t>
        </is>
      </c>
    </row>
    <row r="25" ht="20" customHeight="1">
      <c r="A25" s="18" t="inlineStr">
        <is>
          <t>Defence, Aerospace &amp; Naval Shipbuilding</t>
        </is>
      </c>
      <c r="B25" s="13" t="inlineStr">
        <is>
          <t>HAL</t>
        </is>
      </c>
      <c r="C25" s="18" t="inlineStr">
        <is>
          <t>Hindustan Aeronautics Ltd</t>
        </is>
      </c>
      <c r="D25" s="13" t="inlineStr">
        <is>
          <t>Large Cap</t>
        </is>
      </c>
      <c r="E25" s="19" t="inlineStr">
        <is>
          <t>Watchlist</t>
        </is>
      </c>
      <c r="F25" s="13" t="inlineStr">
        <is>
          <t>Watchlist</t>
        </is>
      </c>
      <c r="G25" s="18" t="inlineStr">
        <is>
          <t>Tejas fighter jet engine supply &amp; multi-role helicopter orders</t>
        </is>
      </c>
    </row>
    <row r="26" ht="20" customHeight="1">
      <c r="A26" s="20" t="inlineStr">
        <is>
          <t>Defence, Aerospace &amp; Naval Shipbuilding</t>
        </is>
      </c>
      <c r="B26" s="10" t="inlineStr">
        <is>
          <t>MAZDOCK</t>
        </is>
      </c>
      <c r="C26" s="20" t="inlineStr">
        <is>
          <t>Mazagon Dock Shipbuilders Ltd</t>
        </is>
      </c>
      <c r="D26" s="10" t="inlineStr">
        <is>
          <t>Large Cap</t>
        </is>
      </c>
      <c r="E26" s="19" t="inlineStr">
        <is>
          <t>Watchlist</t>
        </is>
      </c>
      <c r="F26" s="10" t="inlineStr">
        <is>
          <t>Watchlist</t>
        </is>
      </c>
      <c r="G26" s="20" t="inlineStr">
        <is>
          <t>Next-gen corvette contracts &amp; submarine overhaul cycles</t>
        </is>
      </c>
    </row>
    <row r="27" ht="20" customHeight="1">
      <c r="A27" s="18" t="inlineStr">
        <is>
          <t>Defence, Aerospace &amp; Naval Shipbuilding</t>
        </is>
      </c>
      <c r="B27" s="13" t="inlineStr">
        <is>
          <t>BEML</t>
        </is>
      </c>
      <c r="C27" s="18" t="inlineStr">
        <is>
          <t>BEML Ltd</t>
        </is>
      </c>
      <c r="D27" s="13" t="inlineStr">
        <is>
          <t>Small Cap</t>
        </is>
      </c>
      <c r="E27" s="19" t="inlineStr">
        <is>
          <t>Watchlist</t>
        </is>
      </c>
      <c r="F27" s="13" t="inlineStr">
        <is>
          <t>Watchlist</t>
        </is>
      </c>
      <c r="G27" s="18" t="inlineStr">
        <is>
          <t>Vande Bharat sleeper trainset production &amp; defence vehicles</t>
        </is>
      </c>
    </row>
    <row r="28" ht="20" customHeight="1">
      <c r="A28" s="20" t="inlineStr">
        <is>
          <t>Defence, Aerospace &amp; Naval Shipbuilding</t>
        </is>
      </c>
      <c r="B28" s="10" t="inlineStr">
        <is>
          <t>HBLPOWER</t>
        </is>
      </c>
      <c r="C28" s="20" t="inlineStr">
        <is>
          <t>HBL Power Systems Ltd</t>
        </is>
      </c>
      <c r="D28" s="10" t="inlineStr">
        <is>
          <t>Mid Cap</t>
        </is>
      </c>
      <c r="E28" s="19" t="inlineStr">
        <is>
          <t>Scheduled Date</t>
        </is>
      </c>
      <c r="F28" s="10" t="inlineStr">
        <is>
          <t>07-Feb</t>
        </is>
      </c>
      <c r="G28" s="20" t="inlineStr">
        <is>
          <t>Kavach automatic train protection orders &amp; submarine battery</t>
        </is>
      </c>
    </row>
    <row r="29" ht="20" customHeight="1">
      <c r="A29" s="18" t="inlineStr">
        <is>
          <t>Defence, Aerospace &amp; Naval Shipbuilding</t>
        </is>
      </c>
      <c r="B29" s="13" t="inlineStr">
        <is>
          <t>DATAPATTNS</t>
        </is>
      </c>
      <c r="C29" s="18" t="inlineStr">
        <is>
          <t>Data Patterns (India) Ltd</t>
        </is>
      </c>
      <c r="D29" s="13" t="inlineStr">
        <is>
          <t>Mid Cap</t>
        </is>
      </c>
      <c r="E29" s="19" t="inlineStr">
        <is>
          <t>Watchlist</t>
        </is>
      </c>
      <c r="F29" s="13" t="inlineStr">
        <is>
          <t>Watchlist</t>
        </is>
      </c>
      <c r="G29" s="18" t="inlineStr">
        <is>
          <t>Radars, electronic warfare systems &amp; missile avionics orders</t>
        </is>
      </c>
    </row>
    <row r="30"/>
    <row r="31" ht="24" customHeight="1">
      <c r="A31" s="24" t="inlineStr">
        <is>
          <t>• RAILWAYS &amp; INFRASTRUCTURE ENGINEERING (7 Stocks)</t>
        </is>
      </c>
      <c r="B31" s="4" t="n"/>
      <c r="C31" s="4" t="n"/>
      <c r="D31" s="4" t="n"/>
      <c r="E31" s="4" t="n"/>
      <c r="F31" s="4" t="n"/>
      <c r="G31" s="4" t="n"/>
    </row>
    <row r="32" ht="20" customHeight="1">
      <c r="A32" s="20" t="inlineStr">
        <is>
          <t>Railways &amp; Infrastructure Engineering</t>
        </is>
      </c>
      <c r="B32" s="10" t="inlineStr">
        <is>
          <t>TITAGARH</t>
        </is>
      </c>
      <c r="C32" s="20" t="inlineStr">
        <is>
          <t>Titagarh Rail Systems Ltd</t>
        </is>
      </c>
      <c r="D32" s="10" t="inlineStr">
        <is>
          <t>Mid Cap</t>
        </is>
      </c>
      <c r="E32" s="19" t="inlineStr">
        <is>
          <t>Watchlist</t>
        </is>
      </c>
      <c r="F32" s="10" t="inlineStr">
        <is>
          <t>Watchlist</t>
        </is>
      </c>
      <c r="G32" s="20" t="inlineStr">
        <is>
          <t>Vande Bharat / Metro trainset supply &amp; freight wagon orders</t>
        </is>
      </c>
    </row>
    <row r="33" ht="20" customHeight="1">
      <c r="A33" s="18" t="inlineStr">
        <is>
          <t>Railways &amp; Infrastructure Engineering</t>
        </is>
      </c>
      <c r="B33" s="13" t="inlineStr">
        <is>
          <t>RVNL</t>
        </is>
      </c>
      <c r="C33" s="18" t="inlineStr">
        <is>
          <t>Rail Vikas Nigam Ltd</t>
        </is>
      </c>
      <c r="D33" s="13" t="inlineStr">
        <is>
          <t>Large Cap</t>
        </is>
      </c>
      <c r="E33" s="19" t="inlineStr">
        <is>
          <t>Scheduled Date</t>
        </is>
      </c>
      <c r="F33" s="13" t="inlineStr">
        <is>
          <t>05-Feb</t>
        </is>
      </c>
      <c r="G33" s="18" t="inlineStr">
        <is>
          <t>Domestic railway track doubling, metro lines &amp; overseas bids</t>
        </is>
      </c>
    </row>
    <row r="34" ht="20" customHeight="1">
      <c r="A34" s="20" t="inlineStr">
        <is>
          <t>Railways &amp; Infrastructure Engineering</t>
        </is>
      </c>
      <c r="B34" s="10" t="inlineStr">
        <is>
          <t>RAILTEL</t>
        </is>
      </c>
      <c r="C34" s="20" t="inlineStr">
        <is>
          <t>RailTel Corporation of India Ltd</t>
        </is>
      </c>
      <c r="D34" s="10" t="inlineStr">
        <is>
          <t>Small Cap</t>
        </is>
      </c>
      <c r="E34" s="19" t="inlineStr">
        <is>
          <t>Watchlist</t>
        </is>
      </c>
      <c r="F34" s="10" t="inlineStr">
        <is>
          <t>Watchlist</t>
        </is>
      </c>
      <c r="G34" s="20" t="inlineStr">
        <is>
          <t>Telecom optic fibre leasing, Kavach systems &amp; data centers</t>
        </is>
      </c>
    </row>
    <row r="35" ht="20" customHeight="1">
      <c r="A35" s="18" t="inlineStr">
        <is>
          <t>Railways &amp; Infrastructure Engineering</t>
        </is>
      </c>
      <c r="B35" s="13" t="inlineStr">
        <is>
          <t>HGINFRA</t>
        </is>
      </c>
      <c r="C35" s="18" t="inlineStr">
        <is>
          <t>H.G. Infra Engineering Ltd</t>
        </is>
      </c>
      <c r="D35" s="13" t="inlineStr">
        <is>
          <t>Small Cap</t>
        </is>
      </c>
      <c r="E35" s="19" t="inlineStr">
        <is>
          <t>Watchlist</t>
        </is>
      </c>
      <c r="F35" s="13" t="inlineStr">
        <is>
          <t>Watchlist</t>
        </is>
      </c>
      <c r="G35" s="18" t="inlineStr">
        <is>
          <t>HAM highway project awards &amp; diversification into solar EPC</t>
        </is>
      </c>
    </row>
    <row r="36" ht="20" customHeight="1">
      <c r="A36" s="20" t="inlineStr">
        <is>
          <t>Railways &amp; Infrastructure Engineering</t>
        </is>
      </c>
      <c r="B36" s="10" t="inlineStr">
        <is>
          <t>BEML</t>
        </is>
      </c>
      <c r="C36" s="20" t="inlineStr">
        <is>
          <t>BEML Ltd</t>
        </is>
      </c>
      <c r="D36" s="10" t="inlineStr">
        <is>
          <t>Small Cap</t>
        </is>
      </c>
      <c r="E36" s="19" t="inlineStr">
        <is>
          <t>Watchlist</t>
        </is>
      </c>
      <c r="F36" s="10" t="inlineStr">
        <is>
          <t>Watchlist</t>
        </is>
      </c>
      <c r="G36" s="20" t="inlineStr">
        <is>
          <t>Vande Bharat sleeper trainset production &amp; defence vehicles</t>
        </is>
      </c>
    </row>
    <row r="37" ht="20" customHeight="1">
      <c r="A37" s="18" t="inlineStr">
        <is>
          <t>Railways &amp; Infrastructure Engineering</t>
        </is>
      </c>
      <c r="B37" s="13" t="inlineStr">
        <is>
          <t>IRFC</t>
        </is>
      </c>
      <c r="C37" s="18" t="inlineStr">
        <is>
          <t>Indian Railway Finance Corporation Ltd</t>
        </is>
      </c>
      <c r="D37" s="13" t="inlineStr">
        <is>
          <t>Large Cap</t>
        </is>
      </c>
      <c r="E37" s="21" t="inlineStr">
        <is>
          <t>Bullish</t>
        </is>
      </c>
      <c r="F37" s="13" t="inlineStr">
        <is>
          <t>Watchlist</t>
        </is>
      </c>
      <c r="G37" s="18" t="inlineStr">
        <is>
          <t>MoR rolling stock leasing lease margin &amp; sovereign safety</t>
        </is>
      </c>
    </row>
    <row r="38" ht="20" customHeight="1">
      <c r="A38" s="20" t="inlineStr">
        <is>
          <t>Railways &amp; Infrastructure Engineering</t>
        </is>
      </c>
      <c r="B38" s="10" t="inlineStr">
        <is>
          <t>HBLPOWER</t>
        </is>
      </c>
      <c r="C38" s="20" t="inlineStr">
        <is>
          <t>HBL Power Systems Ltd</t>
        </is>
      </c>
      <c r="D38" s="10" t="inlineStr">
        <is>
          <t>Mid Cap</t>
        </is>
      </c>
      <c r="E38" s="19" t="inlineStr">
        <is>
          <t>Scheduled Date</t>
        </is>
      </c>
      <c r="F38" s="10" t="inlineStr">
        <is>
          <t>07-Feb</t>
        </is>
      </c>
      <c r="G38" s="20" t="inlineStr">
        <is>
          <t>Kavach automatic train protection orders &amp; submarine battery</t>
        </is>
      </c>
    </row>
    <row r="39"/>
    <row r="40" ht="24" customHeight="1">
      <c r="A40" s="24" t="inlineStr">
        <is>
          <t>• ELECTRONICS MANUFACTURING (EMS) &amp; AI SUPERCOMPUTING (5 Stocks)</t>
        </is>
      </c>
      <c r="B40" s="4" t="n"/>
      <c r="C40" s="4" t="n"/>
      <c r="D40" s="4" t="n"/>
      <c r="E40" s="4" t="n"/>
      <c r="F40" s="4" t="n"/>
      <c r="G40" s="4" t="n"/>
    </row>
    <row r="41" ht="20" customHeight="1">
      <c r="A41" s="18" t="inlineStr">
        <is>
          <t>Electronics Manufacturing</t>
        </is>
      </c>
      <c r="B41" s="13" t="inlineStr">
        <is>
          <t>PGEL</t>
        </is>
      </c>
      <c r="C41" s="18" t="inlineStr">
        <is>
          <t>PG Electroplast Ltd</t>
        </is>
      </c>
      <c r="D41" s="13" t="inlineStr">
        <is>
          <t>Mid Cap</t>
        </is>
      </c>
      <c r="E41" s="19" t="inlineStr">
        <is>
          <t>Watchlist</t>
        </is>
      </c>
      <c r="F41" s="13" t="inlineStr">
        <is>
          <t>Watchlist</t>
        </is>
      </c>
      <c r="G41" s="18" t="inlineStr">
        <is>
          <t>Room AC &amp; consumer durable contract manufacturing scale</t>
        </is>
      </c>
    </row>
    <row r="42" ht="20" customHeight="1">
      <c r="A42" s="20" t="inlineStr">
        <is>
          <t>Electronics Manufacturing</t>
        </is>
      </c>
      <c r="B42" s="10" t="inlineStr">
        <is>
          <t>DIXON</t>
        </is>
      </c>
      <c r="C42" s="20" t="inlineStr">
        <is>
          <t>Dixon Technologies (India) Ltd</t>
        </is>
      </c>
      <c r="D42" s="10" t="inlineStr">
        <is>
          <t>Large Cap</t>
        </is>
      </c>
      <c r="E42" s="19" t="inlineStr">
        <is>
          <t>Scheduled Date</t>
        </is>
      </c>
      <c r="F42" s="10" t="inlineStr">
        <is>
          <t>29-Jan</t>
        </is>
      </c>
      <c r="G42" s="20" t="inlineStr">
        <is>
          <t>Mobile phone assembly scale-up &amp; IT hardware PLI benefits</t>
        </is>
      </c>
    </row>
    <row r="43" ht="20" customHeight="1">
      <c r="A43" s="18" t="inlineStr">
        <is>
          <t>Electronics Manufacturing</t>
        </is>
      </c>
      <c r="B43" s="13" t="inlineStr">
        <is>
          <t>KAYNES</t>
        </is>
      </c>
      <c r="C43" s="18" t="inlineStr">
        <is>
          <t>Kaynes Technology India Ltd</t>
        </is>
      </c>
      <c r="D43" s="13" t="inlineStr">
        <is>
          <t>Mid Cap</t>
        </is>
      </c>
      <c r="E43" s="19" t="inlineStr">
        <is>
          <t>Scheduled Date</t>
        </is>
      </c>
      <c r="F43" s="13" t="inlineStr">
        <is>
          <t>05-Feb</t>
        </is>
      </c>
      <c r="G43" s="18" t="inlineStr">
        <is>
          <t>Aerospace/automotive EMS orders &amp; OSAT chip testing facility</t>
        </is>
      </c>
    </row>
    <row r="44" ht="20" customHeight="1">
      <c r="A44" s="20" t="inlineStr">
        <is>
          <t>Electronics Manufacturing</t>
        </is>
      </c>
      <c r="B44" s="10" t="inlineStr">
        <is>
          <t>NETWEB</t>
        </is>
      </c>
      <c r="C44" s="20" t="inlineStr">
        <is>
          <t>Netweb Technologies India Ltd</t>
        </is>
      </c>
      <c r="D44" s="10" t="inlineStr">
        <is>
          <t>Mid Cap</t>
        </is>
      </c>
      <c r="E44" s="21" t="inlineStr">
        <is>
          <t>Bullish</t>
        </is>
      </c>
      <c r="F44" s="10" t="inlineStr">
        <is>
          <t>Watchlist</t>
        </is>
      </c>
      <c r="G44" s="20" t="inlineStr">
        <is>
          <t>High-performance computing (HPC) &amp; NVIDIA AI server orders</t>
        </is>
      </c>
    </row>
    <row r="45" ht="20" customHeight="1">
      <c r="A45" s="18" t="inlineStr">
        <is>
          <t>Electronics Manufacturing</t>
        </is>
      </c>
      <c r="B45" s="13" t="inlineStr">
        <is>
          <t>GENUSPOWER</t>
        </is>
      </c>
      <c r="C45" s="18" t="inlineStr">
        <is>
          <t>Genus Power Infrastructures Ltd</t>
        </is>
      </c>
      <c r="D45" s="13" t="inlineStr">
        <is>
          <t>Mid Cap</t>
        </is>
      </c>
      <c r="E45" s="19" t="inlineStr">
        <is>
          <t>Watchlist</t>
        </is>
      </c>
      <c r="F45" s="13" t="inlineStr">
        <is>
          <t>Watchlist</t>
        </is>
      </c>
      <c r="G45" s="18" t="inlineStr">
        <is>
          <t>AMISP smart metering order pipeline execution across states</t>
        </is>
      </c>
    </row>
    <row r="46"/>
    <row r="47" ht="24" customHeight="1">
      <c r="A47" s="24" t="inlineStr">
        <is>
          <t>• AUTOMOBILES, MOBILITY &amp; EV (6 Stocks)</t>
        </is>
      </c>
      <c r="B47" s="4" t="n"/>
      <c r="C47" s="4" t="n"/>
      <c r="D47" s="4" t="n"/>
      <c r="E47" s="4" t="n"/>
      <c r="F47" s="4" t="n"/>
      <c r="G47" s="4" t="n"/>
    </row>
    <row r="48" ht="20" customHeight="1">
      <c r="A48" s="20" t="inlineStr">
        <is>
          <t>Automobiles, Mobility &amp; EV</t>
        </is>
      </c>
      <c r="B48" s="10" t="inlineStr">
        <is>
          <t>TATAMOTORS</t>
        </is>
      </c>
      <c r="C48" s="20" t="inlineStr">
        <is>
          <t>Tata Motors Ltd (PV / EV)</t>
        </is>
      </c>
      <c r="D48" s="10" t="inlineStr">
        <is>
          <t>Large Cap</t>
        </is>
      </c>
      <c r="E48" s="19" t="inlineStr">
        <is>
          <t>Scheduled Date</t>
        </is>
      </c>
      <c r="F48" s="10" t="inlineStr">
        <is>
          <t>05-Feb</t>
        </is>
      </c>
      <c r="G48" s="20" t="inlineStr">
        <is>
          <t>Passenger vehicle EV sales trajectory &amp; JLR profitability</t>
        </is>
      </c>
    </row>
    <row r="49" ht="20" customHeight="1">
      <c r="A49" s="18" t="inlineStr">
        <is>
          <t>Automobiles, Mobility &amp; EV</t>
        </is>
      </c>
      <c r="B49" s="13" t="inlineStr">
        <is>
          <t>TATAMOTORS</t>
        </is>
      </c>
      <c r="C49" s="18" t="inlineStr">
        <is>
          <t>Tata Motors Commercial Vehicles</t>
        </is>
      </c>
      <c r="D49" s="13" t="inlineStr">
        <is>
          <t>Large Cap</t>
        </is>
      </c>
      <c r="E49" s="19" t="inlineStr">
        <is>
          <t>Scheduled Date</t>
        </is>
      </c>
      <c r="F49" s="13" t="inlineStr">
        <is>
          <t>29-Jan</t>
        </is>
      </c>
      <c r="G49" s="18" t="inlineStr">
        <is>
          <t>Medium &amp; Heavy Commercial Vehicle (MHCV) tonnage growth</t>
        </is>
      </c>
    </row>
    <row r="50" ht="20" customHeight="1">
      <c r="A50" s="20" t="inlineStr">
        <is>
          <t>Automobiles, Mobility &amp; EV</t>
        </is>
      </c>
      <c r="B50" s="10" t="inlineStr">
        <is>
          <t>ATHER (Pre-IPO)</t>
        </is>
      </c>
      <c r="C50" s="20" t="inlineStr">
        <is>
          <t>Ather Energy Ltd</t>
        </is>
      </c>
      <c r="D50" s="10" t="inlineStr">
        <is>
          <t>IPO / Unlisted</t>
        </is>
      </c>
      <c r="E50" s="19" t="inlineStr">
        <is>
          <t>Watchlist</t>
        </is>
      </c>
      <c r="F50" s="10" t="inlineStr">
        <is>
          <t>IPO Watch</t>
        </is>
      </c>
      <c r="G50" s="20" t="inlineStr">
        <is>
          <t>Two-wheeler EV market share &amp; battery plant ramp-up</t>
        </is>
      </c>
    </row>
    <row r="51" ht="20" customHeight="1">
      <c r="A51" s="18" t="inlineStr">
        <is>
          <t>Automobiles, Mobility &amp; EV</t>
        </is>
      </c>
      <c r="B51" s="13" t="inlineStr">
        <is>
          <t>OLAELEC</t>
        </is>
      </c>
      <c r="C51" s="18" t="inlineStr">
        <is>
          <t>Ola Electric Mobility Ltd</t>
        </is>
      </c>
      <c r="D51" s="13" t="inlineStr">
        <is>
          <t>Mid Cap</t>
        </is>
      </c>
      <c r="E51" s="19" t="inlineStr">
        <is>
          <t>Watchlist</t>
        </is>
      </c>
      <c r="F51" s="13" t="inlineStr">
        <is>
          <t>Watchlist</t>
        </is>
      </c>
      <c r="G51" s="18" t="inlineStr">
        <is>
          <t>Gen-3 scooter margins, service network &amp; Gigafactory battery</t>
        </is>
      </c>
    </row>
    <row r="52" ht="20" customHeight="1">
      <c r="A52" s="20" t="inlineStr">
        <is>
          <t>Automobiles, Mobility &amp; EV</t>
        </is>
      </c>
      <c r="B52" s="10" t="inlineStr">
        <is>
          <t>BELRISE (Pre-IPO)</t>
        </is>
      </c>
      <c r="C52" s="20" t="inlineStr">
        <is>
          <t>Belrise Industries Ltd</t>
        </is>
      </c>
      <c r="D52" s="10" t="inlineStr">
        <is>
          <t>IPO / Unlisted</t>
        </is>
      </c>
      <c r="E52" s="19" t="inlineStr">
        <is>
          <t>Scheduled Date</t>
        </is>
      </c>
      <c r="F52" s="10" t="inlineStr">
        <is>
          <t>31-Jan</t>
        </is>
      </c>
      <c r="G52" s="20" t="inlineStr">
        <is>
          <t>Two-wheeler chassis &amp; automotive precision component supply</t>
        </is>
      </c>
    </row>
    <row r="53" ht="20" customHeight="1">
      <c r="A53" s="18" t="inlineStr">
        <is>
          <t>Automobiles, Mobility &amp; EV</t>
        </is>
      </c>
      <c r="B53" s="13" t="inlineStr">
        <is>
          <t>M&amp;M</t>
        </is>
      </c>
      <c r="C53" s="18" t="inlineStr">
        <is>
          <t>Mahindra &amp; Mahindra Ltd</t>
        </is>
      </c>
      <c r="D53" s="13" t="inlineStr">
        <is>
          <t>Large Cap</t>
        </is>
      </c>
      <c r="E53" s="19" t="inlineStr">
        <is>
          <t>Scheduled Date</t>
        </is>
      </c>
      <c r="F53" s="13" t="inlineStr">
        <is>
          <t>11-Feb</t>
        </is>
      </c>
      <c r="G53" s="18" t="inlineStr">
        <is>
          <t>SUV order backlog delivery pace &amp; tractor demand revival</t>
        </is>
      </c>
    </row>
    <row r="54"/>
    <row r="55" ht="24" customHeight="1">
      <c r="A55" s="24" t="inlineStr">
        <is>
          <t>• BANKING, FINANCIAL SERVICES &amp; EXCHANGES (10 Stocks)</t>
        </is>
      </c>
      <c r="B55" s="4" t="n"/>
      <c r="C55" s="4" t="n"/>
      <c r="D55" s="4" t="n"/>
      <c r="E55" s="4" t="n"/>
      <c r="F55" s="4" t="n"/>
      <c r="G55" s="4" t="n"/>
    </row>
    <row r="56" ht="20" customHeight="1">
      <c r="A56" s="20" t="inlineStr">
        <is>
          <t>Banking, Financial Services &amp; Exchanges</t>
        </is>
      </c>
      <c r="B56" s="10" t="inlineStr">
        <is>
          <t>BSE</t>
        </is>
      </c>
      <c r="C56" s="20" t="inlineStr">
        <is>
          <t>BSE Limited</t>
        </is>
      </c>
      <c r="D56" s="10" t="inlineStr">
        <is>
          <t>Mid Cap</t>
        </is>
      </c>
      <c r="E56" s="19" t="inlineStr">
        <is>
          <t>Scheduled Date</t>
        </is>
      </c>
      <c r="F56" s="10" t="inlineStr">
        <is>
          <t>09-Feb</t>
        </is>
      </c>
      <c r="G56" s="20" t="inlineStr">
        <is>
          <t>Exchange volumes &amp; transaction revenue</t>
        </is>
      </c>
    </row>
    <row r="57" ht="20" customHeight="1">
      <c r="A57" s="18" t="inlineStr">
        <is>
          <t>Banking, Financial Services &amp; Exchanges</t>
        </is>
      </c>
      <c r="B57" s="13" t="inlineStr">
        <is>
          <t>DCBBANK</t>
        </is>
      </c>
      <c r="C57" s="18" t="inlineStr">
        <is>
          <t>DCB Bank Ltd</t>
        </is>
      </c>
      <c r="D57" s="13" t="inlineStr">
        <is>
          <t>Small Cap</t>
        </is>
      </c>
      <c r="E57" s="21" t="inlineStr">
        <is>
          <t>Bullish</t>
        </is>
      </c>
      <c r="F57" s="13" t="inlineStr">
        <is>
          <t>Watchlist</t>
        </is>
      </c>
      <c r="G57" s="18" t="inlineStr">
        <is>
          <t>Retail credit growth, NIMs &amp; asset quality stability</t>
        </is>
      </c>
    </row>
    <row r="58" ht="20" customHeight="1">
      <c r="A58" s="20" t="inlineStr">
        <is>
          <t>Banking, Financial Services &amp; Exchanges</t>
        </is>
      </c>
      <c r="B58" s="10" t="inlineStr">
        <is>
          <t>HUDCO</t>
        </is>
      </c>
      <c r="C58" s="20" t="inlineStr">
        <is>
          <t>Housing &amp; Urban Development Corp Ltd</t>
        </is>
      </c>
      <c r="D58" s="10" t="inlineStr">
        <is>
          <t>Mid Cap</t>
        </is>
      </c>
      <c r="E58" s="19" t="inlineStr">
        <is>
          <t>Scheduled Date</t>
        </is>
      </c>
      <c r="F58" s="10" t="inlineStr">
        <is>
          <t>29-Jan</t>
        </is>
      </c>
      <c r="G58" s="20" t="inlineStr">
        <is>
          <t>Urban housing loan disbursements &amp; low NPA profile</t>
        </is>
      </c>
    </row>
    <row r="59" ht="20" customHeight="1">
      <c r="A59" s="18" t="inlineStr">
        <is>
          <t>Banking, Financial Services &amp; Exchanges</t>
        </is>
      </c>
      <c r="B59" s="13" t="inlineStr">
        <is>
          <t>RECLTD</t>
        </is>
      </c>
      <c r="C59" s="18" t="inlineStr">
        <is>
          <t>REC Limited</t>
        </is>
      </c>
      <c r="D59" s="13" t="inlineStr">
        <is>
          <t>Large Cap</t>
        </is>
      </c>
      <c r="E59" s="19" t="inlineStr">
        <is>
          <t>Scheduled Date</t>
        </is>
      </c>
      <c r="F59" s="13" t="inlineStr">
        <is>
          <t>29-Jan</t>
        </is>
      </c>
      <c r="G59" s="18" t="inlineStr">
        <is>
          <t>Power project refinancing &amp; renewable book expansion</t>
        </is>
      </c>
    </row>
    <row r="60" ht="20" customHeight="1">
      <c r="A60" s="20" t="inlineStr">
        <is>
          <t>Banking, Financial Services &amp; Exchanges</t>
        </is>
      </c>
      <c r="B60" s="10" t="inlineStr">
        <is>
          <t>MCX</t>
        </is>
      </c>
      <c r="C60" s="20" t="inlineStr">
        <is>
          <t>Multi Commodity Exchange of India Ltd</t>
        </is>
      </c>
      <c r="D60" s="10" t="inlineStr">
        <is>
          <t>Mid Cap</t>
        </is>
      </c>
      <c r="E60" s="21" t="inlineStr">
        <is>
          <t>Strong Bullish</t>
        </is>
      </c>
      <c r="F60" s="10" t="inlineStr">
        <is>
          <t>Today</t>
        </is>
      </c>
      <c r="G60" s="20" t="inlineStr">
        <is>
          <t>Surging options trading volume &amp; tech migration benefits</t>
        </is>
      </c>
    </row>
    <row r="61" ht="20" customHeight="1">
      <c r="A61" s="18" t="inlineStr">
        <is>
          <t>Banking, Financial Services &amp; Exchanges</t>
        </is>
      </c>
      <c r="B61" s="13" t="inlineStr">
        <is>
          <t>CRISIL</t>
        </is>
      </c>
      <c r="C61" s="18" t="inlineStr">
        <is>
          <t>CRISIL Ltd</t>
        </is>
      </c>
      <c r="D61" s="13" t="inlineStr">
        <is>
          <t>Mid Cap</t>
        </is>
      </c>
      <c r="E61" s="19" t="inlineStr">
        <is>
          <t>Scheduled Date</t>
        </is>
      </c>
      <c r="F61" s="13" t="inlineStr">
        <is>
          <t>12-Feb</t>
        </is>
      </c>
      <c r="G61" s="18" t="inlineStr">
        <is>
          <t>Corporate bond rating pipeline &amp; global research mandates</t>
        </is>
      </c>
    </row>
    <row r="62" ht="20" customHeight="1">
      <c r="A62" s="20" t="inlineStr">
        <is>
          <t>Banking, Financial Services &amp; Exchanges</t>
        </is>
      </c>
      <c r="B62" s="10" t="inlineStr">
        <is>
          <t>MOTILALOFS</t>
        </is>
      </c>
      <c r="C62" s="20" t="inlineStr">
        <is>
          <t>Motilal Oswal Financial Services Ltd</t>
        </is>
      </c>
      <c r="D62" s="10" t="inlineStr">
        <is>
          <t>Mid Cap</t>
        </is>
      </c>
      <c r="E62" s="19" t="inlineStr">
        <is>
          <t>Scheduled Date</t>
        </is>
      </c>
      <c r="F62" s="10" t="inlineStr">
        <is>
          <t>27-Jan</t>
        </is>
      </c>
      <c r="G62" s="20" t="inlineStr">
        <is>
          <t>Broking retail volume, AMC AUM growth &amp; treasury gains</t>
        </is>
      </c>
    </row>
    <row r="63" ht="20" customHeight="1">
      <c r="A63" s="18" t="inlineStr">
        <is>
          <t>Banking, Financial Services &amp; Exchanges</t>
        </is>
      </c>
      <c r="B63" s="13" t="inlineStr">
        <is>
          <t>AUTHUM</t>
        </is>
      </c>
      <c r="C63" s="18" t="inlineStr">
        <is>
          <t>Authum Investment &amp; Infrastructure Ltd</t>
        </is>
      </c>
      <c r="D63" s="13" t="inlineStr">
        <is>
          <t>Mid Cap</t>
        </is>
      </c>
      <c r="E63" s="19" t="inlineStr">
        <is>
          <t>Watchlist</t>
        </is>
      </c>
      <c r="F63" s="13" t="inlineStr">
        <is>
          <t>Watchlist</t>
        </is>
      </c>
      <c r="G63" s="18" t="inlineStr">
        <is>
          <t>Proprietary equity investment portfolio valuation</t>
        </is>
      </c>
    </row>
    <row r="64" ht="20" customHeight="1">
      <c r="A64" s="20" t="inlineStr">
        <is>
          <t>Banking, Financial Services &amp; Exchanges</t>
        </is>
      </c>
      <c r="B64" s="10" t="inlineStr">
        <is>
          <t>JIOFIN</t>
        </is>
      </c>
      <c r="C64" s="20" t="inlineStr">
        <is>
          <t>Jio Financial Services Ltd</t>
        </is>
      </c>
      <c r="D64" s="10" t="inlineStr">
        <is>
          <t>Large Cap</t>
        </is>
      </c>
      <c r="E64" s="23" t="inlineStr">
        <is>
          <t>Neutral</t>
        </is>
      </c>
      <c r="F64" s="10" t="inlineStr">
        <is>
          <t>Watchlist</t>
        </is>
      </c>
      <c r="G64" s="20" t="inlineStr">
        <is>
          <t>Digital lending rollout, BlackRock AMC JV &amp; broking launch</t>
        </is>
      </c>
    </row>
    <row r="65" ht="20" customHeight="1">
      <c r="A65" s="18" t="inlineStr">
        <is>
          <t>Banking, Financial Services &amp; Exchanges</t>
        </is>
      </c>
      <c r="B65" s="13" t="inlineStr">
        <is>
          <t>TATAINVEST</t>
        </is>
      </c>
      <c r="C65" s="18" t="inlineStr">
        <is>
          <t>Tata Investment Corporation Ltd</t>
        </is>
      </c>
      <c r="D65" s="13" t="inlineStr">
        <is>
          <t>Mid Cap</t>
        </is>
      </c>
      <c r="E65" s="19" t="inlineStr">
        <is>
          <t>Scheduled Date</t>
        </is>
      </c>
      <c r="F65" s="13" t="inlineStr">
        <is>
          <t>30-Jan</t>
        </is>
      </c>
      <c r="G65" s="18" t="inlineStr">
        <is>
          <t>Holding company dividend income &amp; Tata Group market cap surge</t>
        </is>
      </c>
    </row>
    <row r="66"/>
    <row r="67" ht="24" customHeight="1">
      <c r="A67" s="24" t="inlineStr">
        <is>
          <t>• REAL ESTATE &amp; COMMERCIAL SPACES (5 Stocks)</t>
        </is>
      </c>
      <c r="B67" s="4" t="n"/>
      <c r="C67" s="4" t="n"/>
      <c r="D67" s="4" t="n"/>
      <c r="E67" s="4" t="n"/>
      <c r="F67" s="4" t="n"/>
      <c r="G67" s="4" t="n"/>
    </row>
    <row r="68" ht="20" customHeight="1">
      <c r="A68" s="20" t="inlineStr">
        <is>
          <t>Real Estate &amp; Commercial Spaces</t>
        </is>
      </c>
      <c r="B68" s="10" t="inlineStr">
        <is>
          <t>GODREJPROP</t>
        </is>
      </c>
      <c r="C68" s="20" t="inlineStr">
        <is>
          <t>Godrej Properties / Godrej Agrovet</t>
        </is>
      </c>
      <c r="D68" s="10" t="inlineStr">
        <is>
          <t>Large Cap</t>
        </is>
      </c>
      <c r="E68" s="19" t="inlineStr">
        <is>
          <t>Scheduled Date</t>
        </is>
      </c>
      <c r="F68" s="10" t="inlineStr">
        <is>
          <t>05-Feb</t>
        </is>
      </c>
      <c r="G68" s="20" t="inlineStr">
        <is>
          <t>Pre-sales booking momentum &amp; new land parcel additions</t>
        </is>
      </c>
    </row>
    <row r="69" ht="20" customHeight="1">
      <c r="A69" s="18" t="inlineStr">
        <is>
          <t>Real Estate &amp; Commercial Spaces</t>
        </is>
      </c>
      <c r="B69" s="13" t="inlineStr">
        <is>
          <t>AWFIS</t>
        </is>
      </c>
      <c r="C69" s="18" t="inlineStr">
        <is>
          <t>Awfis Space Solutions Ltd</t>
        </is>
      </c>
      <c r="D69" s="13" t="inlineStr">
        <is>
          <t>Small Cap</t>
        </is>
      </c>
      <c r="E69" s="19" t="inlineStr">
        <is>
          <t>Watchlist</t>
        </is>
      </c>
      <c r="F69" s="13" t="inlineStr">
        <is>
          <t>Watchlist</t>
        </is>
      </c>
      <c r="G69" s="18" t="inlineStr">
        <is>
          <t>Enterprise seat additions &amp; center occupancy improvements</t>
        </is>
      </c>
    </row>
    <row r="70" ht="20" customHeight="1">
      <c r="A70" s="20" t="inlineStr">
        <is>
          <t>Real Estate &amp; Commercial Spaces</t>
        </is>
      </c>
      <c r="B70" s="10" t="inlineStr">
        <is>
          <t>BRIGADE</t>
        </is>
      </c>
      <c r="C70" s="20" t="inlineStr">
        <is>
          <t>Brigade Enterprises Ltd</t>
        </is>
      </c>
      <c r="D70" s="10" t="inlineStr">
        <is>
          <t>Mid Cap</t>
        </is>
      </c>
      <c r="E70" s="19" t="inlineStr">
        <is>
          <t>Scheduled Date</t>
        </is>
      </c>
      <c r="F70" s="10" t="inlineStr">
        <is>
          <t>30-Jan</t>
        </is>
      </c>
      <c r="G70" s="20" t="inlineStr">
        <is>
          <t>Bengaluru/Chennai residential bookings &amp; hospitality revPAR</t>
        </is>
      </c>
    </row>
    <row r="71" ht="20" customHeight="1">
      <c r="A71" s="18" t="inlineStr">
        <is>
          <t>Real Estate &amp; Commercial Spaces</t>
        </is>
      </c>
      <c r="B71" s="13" t="inlineStr">
        <is>
          <t>ANANTRAJ</t>
        </is>
      </c>
      <c r="C71" s="18" t="inlineStr">
        <is>
          <t>Anant Raj Ltd</t>
        </is>
      </c>
      <c r="D71" s="13" t="inlineStr">
        <is>
          <t>Mid Cap</t>
        </is>
      </c>
      <c r="E71" s="21" t="inlineStr">
        <is>
          <t>Bullish</t>
        </is>
      </c>
      <c r="F71" s="13" t="inlineStr">
        <is>
          <t>Watchlist</t>
        </is>
      </c>
      <c r="G71" s="18" t="inlineStr">
        <is>
          <t>Data center leasing capacity &amp; NCR luxury housing pre-sales</t>
        </is>
      </c>
    </row>
    <row r="72" ht="20" customHeight="1">
      <c r="A72" s="20" t="inlineStr">
        <is>
          <t>Real Estate &amp; Commercial Spaces</t>
        </is>
      </c>
      <c r="B72" s="10" t="inlineStr">
        <is>
          <t>OBEROIRLTY</t>
        </is>
      </c>
      <c r="C72" s="20" t="inlineStr">
        <is>
          <t>Oberoi Realty Ltd</t>
        </is>
      </c>
      <c r="D72" s="10" t="inlineStr">
        <is>
          <t>Large Cap</t>
        </is>
      </c>
      <c r="E72" s="23" t="inlineStr">
        <is>
          <t>Neutral</t>
        </is>
      </c>
      <c r="F72" s="10" t="inlineStr">
        <is>
          <t>Watchlist</t>
        </is>
      </c>
      <c r="G72" s="20" t="inlineStr">
        <is>
          <t>Thane/Borivali luxury residential launches &amp; leasing annuity</t>
        </is>
      </c>
    </row>
    <row r="73"/>
    <row r="74" ht="24" customHeight="1">
      <c r="A74" s="24" t="inlineStr">
        <is>
          <t>• METALS, MINING, HEALTHCARE &amp; RETAIL (11 Stocks)</t>
        </is>
      </c>
      <c r="B74" s="4" t="n"/>
      <c r="C74" s="4" t="n"/>
      <c r="D74" s="4" t="n"/>
      <c r="E74" s="4" t="n"/>
      <c r="F74" s="4" t="n"/>
      <c r="G74" s="4" t="n"/>
    </row>
    <row r="75" ht="20" customHeight="1">
      <c r="A75" s="18" t="inlineStr">
        <is>
          <t>Metals, Mining, Healthcare &amp; Retail</t>
        </is>
      </c>
      <c r="B75" s="13" t="inlineStr">
        <is>
          <t>JKPAPER</t>
        </is>
      </c>
      <c r="C75" s="18" t="inlineStr">
        <is>
          <t>JK Paper Ltd</t>
        </is>
      </c>
      <c r="D75" s="13" t="inlineStr">
        <is>
          <t>Small Cap</t>
        </is>
      </c>
      <c r="E75" s="19" t="inlineStr">
        <is>
          <t>Scheduled Date</t>
        </is>
      </c>
      <c r="F75" s="13" t="inlineStr">
        <is>
          <t>05-Feb</t>
        </is>
      </c>
      <c r="G75" s="18" t="inlineStr">
        <is>
          <t>Wood/raw material input costs &amp; realization margins</t>
        </is>
      </c>
    </row>
    <row r="76" ht="20" customHeight="1">
      <c r="A76" s="20" t="inlineStr">
        <is>
          <t>Metals, Mining, Healthcare &amp; Retail</t>
        </is>
      </c>
      <c r="B76" s="10" t="inlineStr">
        <is>
          <t>TRENT</t>
        </is>
      </c>
      <c r="C76" s="20" t="inlineStr">
        <is>
          <t>Trent Ltd</t>
        </is>
      </c>
      <c r="D76" s="10" t="inlineStr">
        <is>
          <t>Large Cap</t>
        </is>
      </c>
      <c r="E76" s="19" t="inlineStr">
        <is>
          <t>Scheduled Date</t>
        </is>
      </c>
      <c r="F76" s="10" t="inlineStr">
        <is>
          <t>04-Feb</t>
        </is>
      </c>
      <c r="G76" s="20" t="inlineStr">
        <is>
          <t>Zudio &amp; Westside same-store sales growth (SSSG)</t>
        </is>
      </c>
    </row>
    <row r="77" ht="20" customHeight="1">
      <c r="A77" s="18" t="inlineStr">
        <is>
          <t>Metals, Mining, Healthcare &amp; Retail</t>
        </is>
      </c>
      <c r="B77" s="13" t="inlineStr">
        <is>
          <t>NATIONALUM</t>
        </is>
      </c>
      <c r="C77" s="18" t="inlineStr">
        <is>
          <t>National Aluminium Company Ltd</t>
        </is>
      </c>
      <c r="D77" s="13" t="inlineStr">
        <is>
          <t>Large Cap</t>
        </is>
      </c>
      <c r="E77" s="19" t="inlineStr">
        <is>
          <t>Scheduled Date</t>
        </is>
      </c>
      <c r="F77" s="13" t="inlineStr">
        <is>
          <t>30-Jan</t>
        </is>
      </c>
      <c r="G77" s="18" t="inlineStr">
        <is>
          <t>LME aluminium price realizations &amp; bauxite mine output</t>
        </is>
      </c>
    </row>
    <row r="78" ht="20" customHeight="1">
      <c r="A78" s="20" t="inlineStr">
        <is>
          <t>Metals, Mining, Healthcare &amp; Retail</t>
        </is>
      </c>
      <c r="B78" s="10" t="inlineStr">
        <is>
          <t>NMDC</t>
        </is>
      </c>
      <c r="C78" s="20" t="inlineStr">
        <is>
          <t>NMDC Ltd</t>
        </is>
      </c>
      <c r="D78" s="10" t="inlineStr">
        <is>
          <t>Large Cap</t>
        </is>
      </c>
      <c r="E78" s="19" t="inlineStr">
        <is>
          <t>Watchlist</t>
        </is>
      </c>
      <c r="F78" s="10" t="inlineStr">
        <is>
          <t>Watchlist</t>
        </is>
      </c>
      <c r="G78" s="20" t="inlineStr">
        <is>
          <t>Iron ore production/sales targets &amp; domestic steel demand</t>
        </is>
      </c>
    </row>
    <row r="79" ht="20" customHeight="1">
      <c r="A79" s="18" t="inlineStr">
        <is>
          <t>Metals, Mining, Healthcare &amp; Retail</t>
        </is>
      </c>
      <c r="B79" s="13" t="inlineStr">
        <is>
          <t>DELHIVERY</t>
        </is>
      </c>
      <c r="C79" s="18" t="inlineStr">
        <is>
          <t>Delhivery Ltd</t>
        </is>
      </c>
      <c r="D79" s="13" t="inlineStr">
        <is>
          <t>Mid Cap</t>
        </is>
      </c>
      <c r="E79" s="22" t="inlineStr">
        <is>
          <t>Bearish</t>
        </is>
      </c>
      <c r="F79" s="13" t="inlineStr">
        <is>
          <t>31-Jan</t>
        </is>
      </c>
      <c r="G79" s="18" t="inlineStr">
        <is>
          <t>Express parcel shipment volumes &amp; truckload network yield</t>
        </is>
      </c>
    </row>
    <row r="80" ht="20" customHeight="1">
      <c r="A80" s="20" t="inlineStr">
        <is>
          <t>Metals, Mining, Healthcare &amp; Retail</t>
        </is>
      </c>
      <c r="B80" s="10" t="inlineStr">
        <is>
          <t>PVRINOX</t>
        </is>
      </c>
      <c r="C80" s="20" t="inlineStr">
        <is>
          <t>PVR INOX Ltd</t>
        </is>
      </c>
      <c r="D80" s="10" t="inlineStr">
        <is>
          <t>Mid Cap</t>
        </is>
      </c>
      <c r="E80" s="19" t="inlineStr">
        <is>
          <t>Watchlist</t>
        </is>
      </c>
      <c r="F80" s="10" t="inlineStr">
        <is>
          <t>Watchlist</t>
        </is>
      </c>
      <c r="G80" s="20" t="inlineStr">
        <is>
          <t>Q3 blockbuster occupancy rates, ATP (Ticket price) &amp; SPH</t>
        </is>
      </c>
    </row>
    <row r="81" ht="20" customHeight="1">
      <c r="A81" s="18" t="inlineStr">
        <is>
          <t>Metals, Mining, Healthcare &amp; Retail</t>
        </is>
      </c>
      <c r="B81" s="13" t="inlineStr">
        <is>
          <t>IKS (Pre-IPO)</t>
        </is>
      </c>
      <c r="C81" s="18" t="inlineStr">
        <is>
          <t>Inventurus Knowledge Solutions Ltd</t>
        </is>
      </c>
      <c r="D81" s="13" t="inlineStr">
        <is>
          <t>IPO / Unlisted</t>
        </is>
      </c>
      <c r="E81" s="19" t="inlineStr">
        <is>
          <t>Watchlist</t>
        </is>
      </c>
      <c r="F81" s="13" t="inlineStr">
        <is>
          <t>IPO Watch</t>
        </is>
      </c>
      <c r="G81" s="18" t="inlineStr">
        <is>
          <t>US healthcare revenue cycle management (RCM) scalability</t>
        </is>
      </c>
    </row>
    <row r="82" ht="20" customHeight="1">
      <c r="A82" s="20" t="inlineStr">
        <is>
          <t>Metals, Mining, Healthcare &amp; Retail</t>
        </is>
      </c>
      <c r="B82" s="10" t="inlineStr">
        <is>
          <t>CONCORDBIO</t>
        </is>
      </c>
      <c r="C82" s="20" t="inlineStr">
        <is>
          <t>Concord Biotech Ltd</t>
        </is>
      </c>
      <c r="D82" s="10" t="inlineStr">
        <is>
          <t>Mid Cap</t>
        </is>
      </c>
      <c r="E82" s="19" t="inlineStr">
        <is>
          <t>Watchlist</t>
        </is>
      </c>
      <c r="F82" s="10" t="inlineStr">
        <is>
          <t>Watchlist</t>
        </is>
      </c>
      <c r="G82" s="20" t="inlineStr">
        <is>
          <t>Immunosuppressant API exports &amp; injectables pipeline</t>
        </is>
      </c>
    </row>
    <row r="83" ht="20" customHeight="1">
      <c r="A83" s="18" t="inlineStr">
        <is>
          <t>Metals, Mining, Healthcare &amp; Retail</t>
        </is>
      </c>
      <c r="B83" s="13" t="inlineStr">
        <is>
          <t>KALYANKJIL</t>
        </is>
      </c>
      <c r="C83" s="18" t="inlineStr">
        <is>
          <t>Kalyan Jewellers India Ltd</t>
        </is>
      </c>
      <c r="D83" s="13" t="inlineStr">
        <is>
          <t>Large Cap</t>
        </is>
      </c>
      <c r="E83" s="19" t="inlineStr">
        <is>
          <t>Scheduled Date</t>
        </is>
      </c>
      <c r="F83" s="13" t="inlineStr">
        <is>
          <t>26-Feb</t>
        </is>
      </c>
      <c r="G83" s="18" t="inlineStr">
        <is>
          <t>Wedding season jewellery demand &amp; FOCO showroom expansion</t>
        </is>
      </c>
    </row>
    <row r="84" ht="20" customHeight="1">
      <c r="A84" s="20" t="inlineStr">
        <is>
          <t>Metals, Mining, Healthcare &amp; Retail</t>
        </is>
      </c>
      <c r="B84" s="10" t="inlineStr">
        <is>
          <t>GRAVITA</t>
        </is>
      </c>
      <c r="C84" s="20" t="inlineStr">
        <is>
          <t>Gravita India Ltd</t>
        </is>
      </c>
      <c r="D84" s="10" t="inlineStr">
        <is>
          <t>Small Cap</t>
        </is>
      </c>
      <c r="E84" s="21" t="inlineStr">
        <is>
          <t>Bullish</t>
        </is>
      </c>
      <c r="F84" s="10" t="inlineStr">
        <is>
          <t>Watchlist</t>
        </is>
      </c>
      <c r="G84" s="20" t="inlineStr">
        <is>
          <t>Lead, aluminum &amp; plastic recycling volume growth &amp; scrap rules</t>
        </is>
      </c>
    </row>
    <row r="85" ht="20" customHeight="1">
      <c r="A85" s="18" t="inlineStr">
        <is>
          <t>Metals, Mining, Healthcare &amp; Retail</t>
        </is>
      </c>
      <c r="B85" s="13" t="inlineStr">
        <is>
          <t>SAGILITY</t>
        </is>
      </c>
      <c r="C85" s="18" t="inlineStr">
        <is>
          <t>Sagility India Ltd</t>
        </is>
      </c>
      <c r="D85" s="13" t="inlineStr">
        <is>
          <t>Mid Cap</t>
        </is>
      </c>
      <c r="E85" s="19" t="inlineStr">
        <is>
          <t>Scheduled Date</t>
        </is>
      </c>
      <c r="F85" s="13" t="inlineStr">
        <is>
          <t>28-Jan</t>
        </is>
      </c>
      <c r="G85" s="18" t="inlineStr">
        <is>
          <t>US healthcare payer/provider business process management</t>
        </is>
      </c>
    </row>
  </sheetData>
  <mergeCells count="10">
    <mergeCell ref="A1:G1"/>
    <mergeCell ref="A40:G40"/>
    <mergeCell ref="A74:G74"/>
    <mergeCell ref="A67:G67"/>
    <mergeCell ref="A31:G31"/>
    <mergeCell ref="A55:G55"/>
    <mergeCell ref="A20:G20"/>
    <mergeCell ref="A2:G2"/>
    <mergeCell ref="A47:G4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2026-08-31T04:35:57Z</dcterms:created>
  <dcterms:modified xmlns:dcterms="http://purl.org/dc/terms/" xmlns:xsi="http://www.w3.org/2001/XMLSchema-instance" xsi:type="dcterms:W3CDTF">2026-08-31T04:35:57Z</dcterms:modified>
</cp:coreProperties>
</file>